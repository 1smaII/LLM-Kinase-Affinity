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-new\data\epoch 1\MAPKAll\"/>
    </mc:Choice>
  </mc:AlternateContent>
  <xr:revisionPtr revIDLastSave="0" documentId="13_ncr:1_{D6A6B1E6-D881-4074-AB7D-961BE4B83C9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2" i="1"/>
</calcChain>
</file>

<file path=xl/sharedStrings.xml><?xml version="1.0" encoding="utf-8"?>
<sst xmlns="http://schemas.openxmlformats.org/spreadsheetml/2006/main" count="75" uniqueCount="75">
  <si>
    <t>Sample_ID</t>
  </si>
  <si>
    <t>Predicted_Kd_nM</t>
  </si>
  <si>
    <t>Predicted_Label</t>
  </si>
  <si>
    <t>MAP_val_001</t>
  </si>
  <si>
    <t>MAP_val_002</t>
  </si>
  <si>
    <t>MAP_val_003</t>
  </si>
  <si>
    <t>MAP_val_004</t>
  </si>
  <si>
    <t>MAP_val_010</t>
  </si>
  <si>
    <t>MAP_val_011</t>
  </si>
  <si>
    <t>MAP_val_012</t>
  </si>
  <si>
    <t>MAP_val_013</t>
  </si>
  <si>
    <t>MAP_val_014</t>
  </si>
  <si>
    <t>MAP_val_015</t>
  </si>
  <si>
    <t>MAP_val_016</t>
  </si>
  <si>
    <t>MAP_val_017</t>
  </si>
  <si>
    <t>MAP_val_018</t>
  </si>
  <si>
    <t>MAP_val_019</t>
  </si>
  <si>
    <t>MAP_val_020</t>
  </si>
  <si>
    <t>MAP_val_021</t>
  </si>
  <si>
    <t>MAP_val_022</t>
  </si>
  <si>
    <t>MAP_val_023</t>
  </si>
  <si>
    <t>MAP_val_024</t>
  </si>
  <si>
    <t>MAP_val_025</t>
  </si>
  <si>
    <t>MAP_val_026</t>
  </si>
  <si>
    <t>MAP_val_027</t>
  </si>
  <si>
    <t>MAP_val_034</t>
  </si>
  <si>
    <t>MAP_val_035</t>
  </si>
  <si>
    <t>MAP_val_036</t>
  </si>
  <si>
    <t>MAP_val_037</t>
  </si>
  <si>
    <t>MAP_val_038</t>
  </si>
  <si>
    <t>MAP_val_040</t>
  </si>
  <si>
    <t>MAP_val_043</t>
  </si>
  <si>
    <t>MAP_val_044</t>
  </si>
  <si>
    <t>MAP_val_046</t>
  </si>
  <si>
    <t>MAP_val_049</t>
  </si>
  <si>
    <t>MAP_val_050</t>
  </si>
  <si>
    <t>MAP_val_053</t>
  </si>
  <si>
    <t>MAP_val_055</t>
  </si>
  <si>
    <t>MAP_val_057</t>
  </si>
  <si>
    <t>MAP_val_059</t>
  </si>
  <si>
    <t>MAP_val_061</t>
  </si>
  <si>
    <t>MAP_val_062</t>
  </si>
  <si>
    <t>MAP_val_063</t>
  </si>
  <si>
    <t>MAP_val_064</t>
  </si>
  <si>
    <t>MAP_val_065</t>
  </si>
  <si>
    <t>MAP_val_066</t>
  </si>
  <si>
    <t>MAP_val_067</t>
  </si>
  <si>
    <t>MAP_val_069</t>
  </si>
  <si>
    <t>MAP_val_070</t>
  </si>
  <si>
    <t>MAP_val_071</t>
  </si>
  <si>
    <t>MAP_val_072</t>
  </si>
  <si>
    <t>MAP_val_073</t>
  </si>
  <si>
    <t>MAP_val_074</t>
  </si>
  <si>
    <t>MAP_val_075</t>
  </si>
  <si>
    <t>MAP_val_076</t>
  </si>
  <si>
    <t>MAP_val_078</t>
  </si>
  <si>
    <t>MAP_val_079</t>
  </si>
  <si>
    <t>MAP_val_080</t>
  </si>
  <si>
    <t>MAP_val_081</t>
  </si>
  <si>
    <t>MAP_val_085</t>
  </si>
  <si>
    <t>MAP_val_086</t>
  </si>
  <si>
    <t>MAP_val_087</t>
  </si>
  <si>
    <t>MAP_val_089</t>
  </si>
  <si>
    <t>MAP_val_090</t>
  </si>
  <si>
    <t>MAP_val_092</t>
  </si>
  <si>
    <t>MAP_val_093</t>
  </si>
  <si>
    <t>MAP_val_094</t>
  </si>
  <si>
    <t>MAP_val_096</t>
  </si>
  <si>
    <t>MAP_val_097</t>
  </si>
  <si>
    <t>MAP_val_098</t>
  </si>
  <si>
    <t>MAP_val_099</t>
  </si>
  <si>
    <t>MAP_val_100</t>
  </si>
  <si>
    <t>True_Kd_nM</t>
  </si>
  <si>
    <t>Log Error</t>
  </si>
  <si>
    <t>Category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</si>
</sst>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workbookViewId="0">
      <selection activeCell="G3" sqref="G3"/>
    </sheetView>
  </sheetViews>
  <sheetFormatPr defaultRowHeight="14.4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2" t="s">
        <v>72</v>
      </c>
      <c r="E1" s="2" t="s">
        <v>73</v>
      </c>
      <c r="F1" s="3" t="s">
        <v>74</v>
      </c>
    </row>
    <row r="2" spans="1:6" x14ac:dyDescent="0.25">
      <c r="A2" t="s">
        <v>3</v>
      </c>
      <c r="B2">
        <v>807.29676597469961</v>
      </c>
      <c r="C2">
        <v>1</v>
      </c>
      <c r="D2">
        <v>9800</v>
      </c>
      <c r="E2">
        <f>ABS(LOG10(B2)-LOG10(D2))</f>
        <v>1.0841928629863049</v>
      </c>
      <c r="F2" t="str">
        <f>IF(D2&lt;100,IF(C2=2,"HC","HW"),IF(D2&gt;=5000,IF(C2=0,"LC","LW"),"EXCLUDE_MEDIUM"))</f>
        <v>LW</v>
      </c>
    </row>
    <row r="3" spans="1:6" x14ac:dyDescent="0.25">
      <c r="A3" t="s">
        <v>4</v>
      </c>
      <c r="B3">
        <v>807.29676597469961</v>
      </c>
      <c r="C3">
        <v>1</v>
      </c>
      <c r="D3">
        <v>9300</v>
      </c>
      <c r="E3">
        <f t="shared" ref="E3:E43" si="0">ABS(LOG10(B3)-LOG10(D3))</f>
        <v>1.0614497358477455</v>
      </c>
      <c r="F3" t="str">
        <f t="shared" ref="F3:F43" si="1">IF(D3&lt;100,IF(C3=2,"HC","HW"),IF(D3&gt;=5000,IF(C3=0,"LC","LW"),"EXCLUDE_MEDIUM"))</f>
        <v>LW</v>
      </c>
    </row>
    <row r="4" spans="1:6" x14ac:dyDescent="0.25">
      <c r="A4" t="s">
        <v>5</v>
      </c>
      <c r="B4">
        <v>2919.3652990045798</v>
      </c>
      <c r="C4">
        <v>1</v>
      </c>
      <c r="D4">
        <v>5100</v>
      </c>
      <c r="E4">
        <f t="shared" si="0"/>
        <v>0.24228173461599223</v>
      </c>
      <c r="F4" t="str">
        <f t="shared" si="1"/>
        <v>LW</v>
      </c>
    </row>
    <row r="5" spans="1:6" x14ac:dyDescent="0.25">
      <c r="A5" t="s">
        <v>6</v>
      </c>
      <c r="B5">
        <v>1659.624383474599</v>
      </c>
      <c r="C5">
        <v>1</v>
      </c>
      <c r="D5">
        <v>11800</v>
      </c>
      <c r="E5">
        <f t="shared" si="0"/>
        <v>0.85187220037630729</v>
      </c>
      <c r="F5" t="str">
        <f t="shared" si="1"/>
        <v>LW</v>
      </c>
    </row>
    <row r="6" spans="1:6" x14ac:dyDescent="0.25">
      <c r="A6" t="s">
        <v>7</v>
      </c>
      <c r="B6">
        <v>2.660175598000718</v>
      </c>
      <c r="C6">
        <v>2</v>
      </c>
      <c r="D6">
        <v>2.7</v>
      </c>
      <c r="E6">
        <f t="shared" si="0"/>
        <v>6.4534588340519061E-3</v>
      </c>
      <c r="F6" t="str">
        <f t="shared" si="1"/>
        <v>HC</v>
      </c>
    </row>
    <row r="7" spans="1:6" x14ac:dyDescent="0.25">
      <c r="A7" t="s">
        <v>8</v>
      </c>
      <c r="B7">
        <v>0.16</v>
      </c>
      <c r="C7">
        <v>2</v>
      </c>
      <c r="D7">
        <v>0.3</v>
      </c>
      <c r="E7">
        <f t="shared" si="0"/>
        <v>0.27300127206373759</v>
      </c>
      <c r="F7" t="str">
        <f t="shared" si="1"/>
        <v>HC</v>
      </c>
    </row>
    <row r="8" spans="1:6" x14ac:dyDescent="0.25">
      <c r="A8" t="s">
        <v>9</v>
      </c>
      <c r="B8">
        <v>10.47816723589292</v>
      </c>
      <c r="C8">
        <v>2</v>
      </c>
      <c r="D8">
        <v>10</v>
      </c>
      <c r="E8">
        <f t="shared" si="0"/>
        <v>2.0285325687215527E-2</v>
      </c>
      <c r="F8" t="str">
        <f t="shared" si="1"/>
        <v>HC</v>
      </c>
    </row>
    <row r="9" spans="1:6" x14ac:dyDescent="0.25">
      <c r="A9" t="s">
        <v>10</v>
      </c>
      <c r="B9">
        <v>0.19</v>
      </c>
      <c r="C9">
        <v>2</v>
      </c>
      <c r="D9">
        <v>0.18</v>
      </c>
      <c r="E9">
        <f t="shared" si="0"/>
        <v>2.3481095849522959E-2</v>
      </c>
      <c r="F9" t="str">
        <f t="shared" si="1"/>
        <v>HC</v>
      </c>
    </row>
    <row r="10" spans="1:6" x14ac:dyDescent="0.25">
      <c r="A10" t="s">
        <v>11</v>
      </c>
      <c r="B10">
        <v>0.7694727363640399</v>
      </c>
      <c r="C10">
        <v>2</v>
      </c>
      <c r="D10">
        <v>2.4</v>
      </c>
      <c r="E10">
        <f t="shared" si="0"/>
        <v>0.49401800501183363</v>
      </c>
      <c r="F10" t="str">
        <f t="shared" si="1"/>
        <v>HC</v>
      </c>
    </row>
    <row r="11" spans="1:6" x14ac:dyDescent="0.25">
      <c r="A11" t="s">
        <v>12</v>
      </c>
      <c r="B11">
        <v>81.403278673558546</v>
      </c>
      <c r="C11">
        <v>2</v>
      </c>
      <c r="D11">
        <v>67</v>
      </c>
      <c r="E11">
        <f t="shared" si="0"/>
        <v>8.4567094585901836E-2</v>
      </c>
      <c r="F11" t="str">
        <f t="shared" si="1"/>
        <v>HC</v>
      </c>
    </row>
    <row r="12" spans="1:6" x14ac:dyDescent="0.25">
      <c r="A12" t="s">
        <v>13</v>
      </c>
      <c r="B12">
        <v>0.77810619450206586</v>
      </c>
      <c r="C12">
        <v>2</v>
      </c>
      <c r="D12">
        <v>0.7</v>
      </c>
      <c r="E12">
        <f t="shared" si="0"/>
        <v>4.5940832732434059E-2</v>
      </c>
      <c r="F12" t="str">
        <f t="shared" si="1"/>
        <v>HC</v>
      </c>
    </row>
    <row r="13" spans="1:6" x14ac:dyDescent="0.25">
      <c r="A13" t="s">
        <v>14</v>
      </c>
      <c r="B13">
        <v>4.4000000000000004</v>
      </c>
      <c r="C13">
        <v>2</v>
      </c>
      <c r="D13">
        <v>5.7</v>
      </c>
      <c r="E13">
        <f t="shared" si="0"/>
        <v>0.11242217918630404</v>
      </c>
      <c r="F13" t="str">
        <f t="shared" si="1"/>
        <v>HC</v>
      </c>
    </row>
    <row r="14" spans="1:6" x14ac:dyDescent="0.25">
      <c r="A14" t="s">
        <v>15</v>
      </c>
      <c r="B14">
        <v>3.50761695817312</v>
      </c>
      <c r="C14">
        <v>2</v>
      </c>
      <c r="D14">
        <v>1.7</v>
      </c>
      <c r="E14">
        <f t="shared" si="0"/>
        <v>0.31456323970269284</v>
      </c>
      <c r="F14" t="str">
        <f t="shared" si="1"/>
        <v>HC</v>
      </c>
    </row>
    <row r="15" spans="1:6" x14ac:dyDescent="0.25">
      <c r="A15" t="s">
        <v>16</v>
      </c>
      <c r="B15">
        <v>64.548544327625137</v>
      </c>
      <c r="C15">
        <v>2</v>
      </c>
      <c r="D15">
        <v>72</v>
      </c>
      <c r="E15">
        <f t="shared" si="0"/>
        <v>4.7446043749948874E-2</v>
      </c>
      <c r="F15" t="str">
        <f t="shared" si="1"/>
        <v>HC</v>
      </c>
    </row>
    <row r="16" spans="1:6" x14ac:dyDescent="0.25">
      <c r="A16" t="s">
        <v>17</v>
      </c>
      <c r="B16">
        <v>51</v>
      </c>
      <c r="C16">
        <v>2</v>
      </c>
      <c r="D16">
        <v>58</v>
      </c>
      <c r="E16">
        <f t="shared" si="0"/>
        <v>5.5857817465001069E-2</v>
      </c>
      <c r="F16" t="str">
        <f t="shared" si="1"/>
        <v>HC</v>
      </c>
    </row>
    <row r="17" spans="1:6" x14ac:dyDescent="0.25">
      <c r="A17" t="s">
        <v>18</v>
      </c>
      <c r="B17">
        <v>74.767106648958631</v>
      </c>
      <c r="C17">
        <v>2</v>
      </c>
      <c r="D17">
        <v>56</v>
      </c>
      <c r="E17">
        <f t="shared" si="0"/>
        <v>0.12552254755910175</v>
      </c>
      <c r="F17" t="str">
        <f t="shared" si="1"/>
        <v>HC</v>
      </c>
    </row>
    <row r="18" spans="1:6" x14ac:dyDescent="0.25">
      <c r="A18" t="s">
        <v>19</v>
      </c>
      <c r="B18">
        <v>73.405247335231905</v>
      </c>
      <c r="C18">
        <v>2</v>
      </c>
      <c r="D18">
        <v>96</v>
      </c>
      <c r="E18">
        <f t="shared" si="0"/>
        <v>0.11654412670277048</v>
      </c>
      <c r="F18" t="str">
        <f t="shared" si="1"/>
        <v>HC</v>
      </c>
    </row>
    <row r="19" spans="1:6" x14ac:dyDescent="0.25">
      <c r="A19" t="s">
        <v>20</v>
      </c>
      <c r="B19">
        <v>0.33</v>
      </c>
      <c r="C19">
        <v>2</v>
      </c>
      <c r="D19">
        <v>0.37</v>
      </c>
      <c r="E19">
        <f t="shared" si="0"/>
        <v>4.9687784189107465E-2</v>
      </c>
      <c r="F19" t="str">
        <f t="shared" si="1"/>
        <v>HC</v>
      </c>
    </row>
    <row r="20" spans="1:6" x14ac:dyDescent="0.25">
      <c r="A20" t="s">
        <v>21</v>
      </c>
      <c r="B20">
        <v>7.3</v>
      </c>
      <c r="C20">
        <v>2</v>
      </c>
      <c r="D20">
        <v>5.0999999999999996</v>
      </c>
      <c r="E20">
        <f t="shared" si="0"/>
        <v>0.15575268402251952</v>
      </c>
      <c r="F20" t="str">
        <f t="shared" si="1"/>
        <v>HC</v>
      </c>
    </row>
    <row r="21" spans="1:6" x14ac:dyDescent="0.25">
      <c r="A21" t="s">
        <v>22</v>
      </c>
      <c r="B21">
        <v>150.57279475273219</v>
      </c>
      <c r="C21">
        <v>1</v>
      </c>
      <c r="D21">
        <v>46</v>
      </c>
      <c r="E21">
        <f t="shared" si="0"/>
        <v>0.5149886796514449</v>
      </c>
      <c r="F21" t="str">
        <f t="shared" si="1"/>
        <v>HW</v>
      </c>
    </row>
    <row r="22" spans="1:6" x14ac:dyDescent="0.25">
      <c r="A22" t="s">
        <v>23</v>
      </c>
      <c r="B22">
        <v>14.266837458454869</v>
      </c>
      <c r="C22">
        <v>2</v>
      </c>
      <c r="D22">
        <v>87</v>
      </c>
      <c r="E22">
        <f t="shared" si="0"/>
        <v>0.78519153924890372</v>
      </c>
      <c r="F22" t="str">
        <f t="shared" si="1"/>
        <v>HC</v>
      </c>
    </row>
    <row r="23" spans="1:6" x14ac:dyDescent="0.25">
      <c r="A23" t="s">
        <v>24</v>
      </c>
      <c r="B23">
        <v>2.660175598000718</v>
      </c>
      <c r="C23">
        <v>2</v>
      </c>
      <c r="D23">
        <v>2.6</v>
      </c>
      <c r="E23">
        <f t="shared" si="0"/>
        <v>9.9369573541174816E-3</v>
      </c>
      <c r="F23" t="str">
        <f t="shared" si="1"/>
        <v>HC</v>
      </c>
    </row>
    <row r="24" spans="1:6" x14ac:dyDescent="0.25">
      <c r="A24" t="s">
        <v>25</v>
      </c>
      <c r="B24">
        <v>100.96840905112241</v>
      </c>
      <c r="C24">
        <v>1</v>
      </c>
      <c r="D24">
        <v>23</v>
      </c>
      <c r="E24">
        <f t="shared" si="0"/>
        <v>0.64245767716237467</v>
      </c>
      <c r="F24" t="str">
        <f t="shared" si="1"/>
        <v>HW</v>
      </c>
    </row>
    <row r="25" spans="1:6" x14ac:dyDescent="0.25">
      <c r="A25" t="s">
        <v>26</v>
      </c>
      <c r="B25">
        <v>86.582004021581199</v>
      </c>
      <c r="C25">
        <v>2</v>
      </c>
      <c r="D25">
        <v>28</v>
      </c>
      <c r="E25">
        <f t="shared" si="0"/>
        <v>0.49026960240382467</v>
      </c>
      <c r="F25" t="str">
        <f t="shared" si="1"/>
        <v>HC</v>
      </c>
    </row>
    <row r="26" spans="1:6" x14ac:dyDescent="0.25">
      <c r="A26" t="s">
        <v>27</v>
      </c>
      <c r="B26">
        <v>85.994864184368055</v>
      </c>
      <c r="C26">
        <v>2</v>
      </c>
      <c r="D26">
        <v>21</v>
      </c>
      <c r="E26">
        <f t="shared" si="0"/>
        <v>0.61225322019579087</v>
      </c>
      <c r="F26" t="str">
        <f t="shared" si="1"/>
        <v>HC</v>
      </c>
    </row>
    <row r="27" spans="1:6" x14ac:dyDescent="0.25">
      <c r="A27" t="s">
        <v>28</v>
      </c>
      <c r="B27">
        <v>65000</v>
      </c>
      <c r="C27">
        <v>0</v>
      </c>
      <c r="D27">
        <v>87000</v>
      </c>
      <c r="E27">
        <f t="shared" si="0"/>
        <v>0.12660589597576255</v>
      </c>
      <c r="F27" t="str">
        <f t="shared" si="1"/>
        <v>LC</v>
      </c>
    </row>
    <row r="28" spans="1:6" x14ac:dyDescent="0.25">
      <c r="A28" t="s">
        <v>29</v>
      </c>
      <c r="B28">
        <v>384000</v>
      </c>
      <c r="C28">
        <v>0</v>
      </c>
      <c r="D28">
        <v>572000</v>
      </c>
      <c r="E28">
        <f t="shared" si="0"/>
        <v>0.17306480442549343</v>
      </c>
      <c r="F28" t="str">
        <f t="shared" si="1"/>
        <v>LC</v>
      </c>
    </row>
    <row r="29" spans="1:6" x14ac:dyDescent="0.25">
      <c r="A29" t="s">
        <v>30</v>
      </c>
      <c r="B29">
        <v>82000</v>
      </c>
      <c r="C29">
        <v>0</v>
      </c>
      <c r="D29">
        <v>72000</v>
      </c>
      <c r="E29">
        <f t="shared" si="0"/>
        <v>5.6481355952448631E-2</v>
      </c>
      <c r="F29" t="str">
        <f t="shared" si="1"/>
        <v>LC</v>
      </c>
    </row>
    <row r="30" spans="1:6" x14ac:dyDescent="0.25">
      <c r="A30" t="s">
        <v>31</v>
      </c>
      <c r="B30">
        <v>86.252651906625502</v>
      </c>
      <c r="C30">
        <v>2</v>
      </c>
      <c r="D30">
        <v>14</v>
      </c>
      <c r="E30">
        <f t="shared" si="0"/>
        <v>0.78964442100282684</v>
      </c>
      <c r="F30" t="str">
        <f t="shared" si="1"/>
        <v>HC</v>
      </c>
    </row>
    <row r="31" spans="1:6" x14ac:dyDescent="0.25">
      <c r="A31" t="s">
        <v>32</v>
      </c>
      <c r="B31">
        <v>14000</v>
      </c>
      <c r="C31">
        <v>0</v>
      </c>
      <c r="D31">
        <v>7400</v>
      </c>
      <c r="E31">
        <f t="shared" si="0"/>
        <v>0.27689631594726194</v>
      </c>
      <c r="F31" t="str">
        <f t="shared" si="1"/>
        <v>LC</v>
      </c>
    </row>
    <row r="32" spans="1:6" x14ac:dyDescent="0.25">
      <c r="A32" t="s">
        <v>33</v>
      </c>
      <c r="B32">
        <v>991.55437720038128</v>
      </c>
      <c r="C32">
        <v>1</v>
      </c>
      <c r="D32">
        <v>8300</v>
      </c>
      <c r="E32">
        <f t="shared" si="0"/>
        <v>0.9227615563153293</v>
      </c>
      <c r="F32" t="str">
        <f t="shared" si="1"/>
        <v>LW</v>
      </c>
    </row>
    <row r="33" spans="1:6" x14ac:dyDescent="0.25">
      <c r="A33" t="s">
        <v>34</v>
      </c>
      <c r="B33">
        <v>647.46848679328332</v>
      </c>
      <c r="C33">
        <v>1</v>
      </c>
      <c r="D33">
        <v>3.5</v>
      </c>
      <c r="E33">
        <f t="shared" si="0"/>
        <v>2.2671505911909096</v>
      </c>
      <c r="F33" t="str">
        <f t="shared" si="1"/>
        <v>HW</v>
      </c>
    </row>
    <row r="34" spans="1:6" x14ac:dyDescent="0.25">
      <c r="A34" t="s">
        <v>35</v>
      </c>
      <c r="B34">
        <v>138000</v>
      </c>
      <c r="C34">
        <v>0</v>
      </c>
      <c r="D34">
        <v>275000</v>
      </c>
      <c r="E34">
        <f t="shared" si="0"/>
        <v>0.29945360742902594</v>
      </c>
      <c r="F34" t="str">
        <f t="shared" si="1"/>
        <v>LC</v>
      </c>
    </row>
    <row r="35" spans="1:6" x14ac:dyDescent="0.25">
      <c r="A35" t="s">
        <v>36</v>
      </c>
      <c r="B35">
        <v>4805.7492314578722</v>
      </c>
      <c r="C35">
        <v>1</v>
      </c>
      <c r="D35">
        <v>10000</v>
      </c>
      <c r="E35">
        <f t="shared" si="0"/>
        <v>0.3182388948378776</v>
      </c>
      <c r="F35" t="str">
        <f t="shared" si="1"/>
        <v>LW</v>
      </c>
    </row>
    <row r="36" spans="1:6" x14ac:dyDescent="0.25">
      <c r="A36" t="s">
        <v>37</v>
      </c>
      <c r="B36">
        <v>488000</v>
      </c>
      <c r="C36">
        <v>0</v>
      </c>
      <c r="D36">
        <v>487000</v>
      </c>
      <c r="E36">
        <f t="shared" si="0"/>
        <v>8.9086078807643077E-4</v>
      </c>
      <c r="F36" t="str">
        <f t="shared" si="1"/>
        <v>LC</v>
      </c>
    </row>
    <row r="37" spans="1:6" x14ac:dyDescent="0.25">
      <c r="A37" t="s">
        <v>38</v>
      </c>
      <c r="B37">
        <v>584.94424413288027</v>
      </c>
      <c r="C37">
        <v>1</v>
      </c>
      <c r="D37">
        <v>3.9</v>
      </c>
      <c r="E37">
        <f t="shared" si="0"/>
        <v>2.1760498648344377</v>
      </c>
      <c r="F37" t="str">
        <f t="shared" si="1"/>
        <v>HW</v>
      </c>
    </row>
    <row r="38" spans="1:6" x14ac:dyDescent="0.25">
      <c r="A38" t="s">
        <v>39</v>
      </c>
      <c r="B38">
        <v>16000</v>
      </c>
      <c r="C38">
        <v>0</v>
      </c>
      <c r="D38">
        <v>19000</v>
      </c>
      <c r="E38">
        <f t="shared" si="0"/>
        <v>7.4633618296903848E-2</v>
      </c>
      <c r="F38" t="str">
        <f t="shared" si="1"/>
        <v>LC</v>
      </c>
    </row>
    <row r="39" spans="1:6" x14ac:dyDescent="0.25">
      <c r="A39" t="s">
        <v>40</v>
      </c>
      <c r="B39">
        <v>1607.7862420053141</v>
      </c>
      <c r="C39">
        <v>1</v>
      </c>
      <c r="D39">
        <v>5600</v>
      </c>
      <c r="E39">
        <f t="shared" si="0"/>
        <v>0.5419597189672114</v>
      </c>
      <c r="F39" t="str">
        <f t="shared" si="1"/>
        <v>LW</v>
      </c>
    </row>
    <row r="40" spans="1:6" x14ac:dyDescent="0.25">
      <c r="A40" t="s">
        <v>41</v>
      </c>
      <c r="B40">
        <v>0.49073669721085339</v>
      </c>
      <c r="C40">
        <v>2</v>
      </c>
      <c r="D40">
        <v>0.6</v>
      </c>
      <c r="E40">
        <f t="shared" si="0"/>
        <v>8.7302714717254176E-2</v>
      </c>
      <c r="F40" t="str">
        <f t="shared" si="1"/>
        <v>HC</v>
      </c>
    </row>
    <row r="41" spans="1:6" x14ac:dyDescent="0.25">
      <c r="A41" t="s">
        <v>42</v>
      </c>
      <c r="B41">
        <v>1.152429126683737</v>
      </c>
      <c r="C41">
        <v>2</v>
      </c>
      <c r="D41">
        <v>0.5</v>
      </c>
      <c r="E41">
        <f t="shared" si="0"/>
        <v>0.36264422184140221</v>
      </c>
      <c r="F41" t="str">
        <f t="shared" si="1"/>
        <v>HC</v>
      </c>
    </row>
    <row r="42" spans="1:6" x14ac:dyDescent="0.25">
      <c r="A42" t="s">
        <v>43</v>
      </c>
      <c r="B42">
        <v>1918.0286468725401</v>
      </c>
      <c r="C42">
        <v>1</v>
      </c>
      <c r="D42">
        <v>0.32</v>
      </c>
      <c r="E42">
        <f t="shared" si="0"/>
        <v>3.7777051110036646</v>
      </c>
      <c r="F42" t="str">
        <f t="shared" si="1"/>
        <v>HW</v>
      </c>
    </row>
    <row r="43" spans="1:6" x14ac:dyDescent="0.25">
      <c r="A43" t="s">
        <v>44</v>
      </c>
      <c r="B43">
        <v>0.35191022896959301</v>
      </c>
      <c r="C43">
        <v>2</v>
      </c>
      <c r="D43">
        <v>0.4</v>
      </c>
      <c r="E43">
        <f t="shared" si="0"/>
        <v>5.5628100677806769E-2</v>
      </c>
      <c r="F43" t="str">
        <f t="shared" si="1"/>
        <v>HC</v>
      </c>
    </row>
    <row r="44" spans="1:6" x14ac:dyDescent="0.25">
      <c r="A44" t="s">
        <v>45</v>
      </c>
      <c r="B44">
        <v>1.475445602493024</v>
      </c>
      <c r="C44">
        <v>2</v>
      </c>
      <c r="D44">
        <v>0.51</v>
      </c>
      <c r="E44">
        <f t="shared" ref="E44:E70" si="2">ABS(LOG10(B44)-LOG10(D44))</f>
        <v>0.46135302623509067</v>
      </c>
      <c r="F44" t="str">
        <f t="shared" ref="F44:F70" si="3">IF(D44&lt;100,IF(C44=2,"HC","HW"),IF(D44&gt;=5000,IF(C44=0,"LC","LW"),"EXCLUDE_MEDIUM"))</f>
        <v>HC</v>
      </c>
    </row>
    <row r="45" spans="1:6" x14ac:dyDescent="0.25">
      <c r="A45" t="s">
        <v>46</v>
      </c>
      <c r="B45">
        <v>7.9058284930984959</v>
      </c>
      <c r="C45">
        <v>2</v>
      </c>
      <c r="D45">
        <v>20.5</v>
      </c>
      <c r="E45">
        <f t="shared" si="2"/>
        <v>0.41380647241344304</v>
      </c>
      <c r="F45" t="str">
        <f t="shared" si="3"/>
        <v>HC</v>
      </c>
    </row>
    <row r="46" spans="1:6" x14ac:dyDescent="0.25">
      <c r="A46" t="s">
        <v>47</v>
      </c>
      <c r="B46">
        <v>0.49073669721085339</v>
      </c>
      <c r="C46">
        <v>2</v>
      </c>
      <c r="D46">
        <v>38</v>
      </c>
      <c r="E46">
        <f t="shared" si="2"/>
        <v>1.8889350609504207</v>
      </c>
      <c r="F46" t="str">
        <f t="shared" si="3"/>
        <v>HC</v>
      </c>
    </row>
    <row r="47" spans="1:6" x14ac:dyDescent="0.25">
      <c r="A47" t="s">
        <v>48</v>
      </c>
      <c r="B47">
        <v>0.91121174544608929</v>
      </c>
      <c r="C47">
        <v>2</v>
      </c>
      <c r="D47">
        <v>0.4</v>
      </c>
      <c r="E47">
        <f t="shared" si="2"/>
        <v>0.35755931780009242</v>
      </c>
      <c r="F47" t="str">
        <f t="shared" si="3"/>
        <v>HC</v>
      </c>
    </row>
    <row r="48" spans="1:6" x14ac:dyDescent="0.25">
      <c r="A48" t="s">
        <v>49</v>
      </c>
      <c r="B48">
        <v>0.17766985640787181</v>
      </c>
      <c r="C48">
        <v>2</v>
      </c>
      <c r="D48">
        <v>0.14000000000000001</v>
      </c>
      <c r="E48">
        <f t="shared" si="2"/>
        <v>0.10348571567127318</v>
      </c>
      <c r="F48" t="str">
        <f t="shared" si="3"/>
        <v>HC</v>
      </c>
    </row>
    <row r="49" spans="1:6" x14ac:dyDescent="0.25">
      <c r="A49" t="s">
        <v>50</v>
      </c>
      <c r="B49">
        <v>6000</v>
      </c>
      <c r="C49">
        <v>0</v>
      </c>
      <c r="D49">
        <v>6800</v>
      </c>
      <c r="E49">
        <f t="shared" si="2"/>
        <v>5.4357662322592759E-2</v>
      </c>
      <c r="F49" t="str">
        <f t="shared" si="3"/>
        <v>LC</v>
      </c>
    </row>
    <row r="50" spans="1:6" x14ac:dyDescent="0.25">
      <c r="A50" t="s">
        <v>51</v>
      </c>
      <c r="B50">
        <v>1398.237281160717</v>
      </c>
      <c r="C50">
        <v>1</v>
      </c>
      <c r="D50">
        <v>16000</v>
      </c>
      <c r="E50">
        <f t="shared" si="2"/>
        <v>1.0585391051271853</v>
      </c>
      <c r="F50" t="str">
        <f t="shared" si="3"/>
        <v>LW</v>
      </c>
    </row>
    <row r="51" spans="1:6" x14ac:dyDescent="0.25">
      <c r="A51" t="s">
        <v>52</v>
      </c>
      <c r="B51">
        <v>0.59094145551538235</v>
      </c>
      <c r="C51">
        <v>2</v>
      </c>
      <c r="D51">
        <v>1.51</v>
      </c>
      <c r="E51">
        <f t="shared" si="2"/>
        <v>0.40743248977236474</v>
      </c>
      <c r="F51" t="str">
        <f t="shared" si="3"/>
        <v>HC</v>
      </c>
    </row>
    <row r="52" spans="1:6" x14ac:dyDescent="0.25">
      <c r="A52" t="s">
        <v>53</v>
      </c>
      <c r="B52">
        <v>0.27629365089654112</v>
      </c>
      <c r="C52">
        <v>2</v>
      </c>
      <c r="D52">
        <v>0.15</v>
      </c>
      <c r="E52">
        <f t="shared" si="2"/>
        <v>0.26527964608421539</v>
      </c>
      <c r="F52" t="str">
        <f t="shared" si="3"/>
        <v>HC</v>
      </c>
    </row>
    <row r="53" spans="1:6" x14ac:dyDescent="0.25">
      <c r="A53" t="s">
        <v>54</v>
      </c>
      <c r="B53">
        <v>1.538660879011114</v>
      </c>
      <c r="C53">
        <v>2</v>
      </c>
      <c r="D53">
        <v>1.72</v>
      </c>
      <c r="E53">
        <f t="shared" si="2"/>
        <v>4.8385535070262276E-2</v>
      </c>
      <c r="F53" t="str">
        <f t="shared" si="3"/>
        <v>HC</v>
      </c>
    </row>
    <row r="54" spans="1:6" x14ac:dyDescent="0.25">
      <c r="A54" t="s">
        <v>55</v>
      </c>
      <c r="B54">
        <v>2.8146118694495401</v>
      </c>
      <c r="C54">
        <v>2</v>
      </c>
      <c r="D54">
        <v>2.2000000000000002</v>
      </c>
      <c r="E54">
        <f t="shared" si="2"/>
        <v>0.10699583396797513</v>
      </c>
      <c r="F54" t="str">
        <f t="shared" si="3"/>
        <v>HC</v>
      </c>
    </row>
    <row r="55" spans="1:6" x14ac:dyDescent="0.25">
      <c r="A55" t="s">
        <v>56</v>
      </c>
      <c r="B55">
        <v>0.79432800000000003</v>
      </c>
      <c r="C55">
        <v>2</v>
      </c>
      <c r="D55">
        <v>0.16</v>
      </c>
      <c r="E55">
        <f t="shared" si="2"/>
        <v>0.69587988900987929</v>
      </c>
      <c r="F55" t="str">
        <f t="shared" si="3"/>
        <v>HC</v>
      </c>
    </row>
    <row r="56" spans="1:6" x14ac:dyDescent="0.25">
      <c r="A56" t="s">
        <v>57</v>
      </c>
      <c r="B56">
        <v>1.778511222811491</v>
      </c>
      <c r="C56">
        <v>2</v>
      </c>
      <c r="D56">
        <v>1.29</v>
      </c>
      <c r="E56">
        <f t="shared" si="2"/>
        <v>0.13946689972843934</v>
      </c>
      <c r="F56" t="str">
        <f t="shared" si="3"/>
        <v>HC</v>
      </c>
    </row>
    <row r="57" spans="1:6" x14ac:dyDescent="0.25">
      <c r="A57" t="s">
        <v>58</v>
      </c>
      <c r="B57">
        <v>0.1</v>
      </c>
      <c r="C57">
        <v>2</v>
      </c>
      <c r="D57">
        <v>0.05</v>
      </c>
      <c r="E57">
        <f t="shared" si="2"/>
        <v>0.30102999566398125</v>
      </c>
      <c r="F57" t="str">
        <f t="shared" si="3"/>
        <v>HC</v>
      </c>
    </row>
    <row r="58" spans="1:6" x14ac:dyDescent="0.25">
      <c r="A58" t="s">
        <v>59</v>
      </c>
      <c r="B58">
        <v>1.878323327394033</v>
      </c>
      <c r="C58">
        <v>2</v>
      </c>
      <c r="D58">
        <v>0.13</v>
      </c>
      <c r="E58">
        <f t="shared" si="2"/>
        <v>1.1598269998494333</v>
      </c>
      <c r="F58" t="str">
        <f t="shared" si="3"/>
        <v>HC</v>
      </c>
    </row>
    <row r="59" spans="1:6" x14ac:dyDescent="0.25">
      <c r="A59" t="s">
        <v>60</v>
      </c>
      <c r="B59">
        <v>194.19640499747811</v>
      </c>
      <c r="C59">
        <v>1</v>
      </c>
      <c r="D59">
        <v>16</v>
      </c>
      <c r="E59">
        <f t="shared" si="2"/>
        <v>1.084121203244542</v>
      </c>
      <c r="F59" t="str">
        <f t="shared" si="3"/>
        <v>HW</v>
      </c>
    </row>
    <row r="60" spans="1:6" x14ac:dyDescent="0.25">
      <c r="A60" t="s">
        <v>61</v>
      </c>
      <c r="B60">
        <v>0.66082519871945711</v>
      </c>
      <c r="C60">
        <v>2</v>
      </c>
      <c r="D60">
        <v>0.26</v>
      </c>
      <c r="E60">
        <f t="shared" si="2"/>
        <v>0.40511324726184011</v>
      </c>
      <c r="F60" t="str">
        <f t="shared" si="3"/>
        <v>HC</v>
      </c>
    </row>
    <row r="61" spans="1:6" x14ac:dyDescent="0.25">
      <c r="A61" t="s">
        <v>62</v>
      </c>
      <c r="B61">
        <v>1918.0286468725401</v>
      </c>
      <c r="C61">
        <v>1</v>
      </c>
      <c r="D61">
        <v>10</v>
      </c>
      <c r="E61">
        <f t="shared" si="2"/>
        <v>2.2828550893235704</v>
      </c>
      <c r="F61" t="str">
        <f t="shared" si="3"/>
        <v>HW</v>
      </c>
    </row>
    <row r="62" spans="1:6" x14ac:dyDescent="0.25">
      <c r="A62" t="s">
        <v>63</v>
      </c>
      <c r="B62">
        <v>1.2552777236171431</v>
      </c>
      <c r="C62">
        <v>2</v>
      </c>
      <c r="D62">
        <v>1.2</v>
      </c>
      <c r="E62">
        <f t="shared" si="2"/>
        <v>1.955857577807435E-2</v>
      </c>
      <c r="F62" t="str">
        <f t="shared" si="3"/>
        <v>HC</v>
      </c>
    </row>
    <row r="63" spans="1:6" x14ac:dyDescent="0.25">
      <c r="A63" t="s">
        <v>64</v>
      </c>
      <c r="B63">
        <v>1.9762091860177211</v>
      </c>
      <c r="C63">
        <v>2</v>
      </c>
      <c r="D63">
        <v>1.38</v>
      </c>
      <c r="E63">
        <f t="shared" si="2"/>
        <v>0.15595382729408319</v>
      </c>
      <c r="F63" t="str">
        <f t="shared" si="3"/>
        <v>HC</v>
      </c>
    </row>
    <row r="64" spans="1:6" x14ac:dyDescent="0.25">
      <c r="A64" t="s">
        <v>65</v>
      </c>
      <c r="B64">
        <v>0.67872692967912363</v>
      </c>
      <c r="C64">
        <v>2</v>
      </c>
      <c r="D64">
        <v>0.06</v>
      </c>
      <c r="E64">
        <f t="shared" si="2"/>
        <v>1.0535438305435263</v>
      </c>
      <c r="F64" t="str">
        <f t="shared" si="3"/>
        <v>HC</v>
      </c>
    </row>
    <row r="65" spans="1:6" x14ac:dyDescent="0.25">
      <c r="A65" t="s">
        <v>66</v>
      </c>
      <c r="B65">
        <v>9.6548308361058988E-2</v>
      </c>
      <c r="C65">
        <v>2</v>
      </c>
      <c r="D65">
        <v>0.03</v>
      </c>
      <c r="E65">
        <f t="shared" si="2"/>
        <v>0.50762341411668799</v>
      </c>
      <c r="F65" t="str">
        <f t="shared" si="3"/>
        <v>HC</v>
      </c>
    </row>
    <row r="66" spans="1:6" x14ac:dyDescent="0.25">
      <c r="A66" t="s">
        <v>67</v>
      </c>
      <c r="B66">
        <v>13.01361524987534</v>
      </c>
      <c r="C66">
        <v>2</v>
      </c>
      <c r="D66">
        <v>1.4</v>
      </c>
      <c r="E66">
        <f t="shared" si="2"/>
        <v>0.96826992690661884</v>
      </c>
      <c r="F66" t="str">
        <f t="shared" si="3"/>
        <v>HC</v>
      </c>
    </row>
    <row r="67" spans="1:6" x14ac:dyDescent="0.25">
      <c r="A67" t="s">
        <v>68</v>
      </c>
      <c r="B67">
        <v>5982.9594018039543</v>
      </c>
      <c r="C67">
        <v>0</v>
      </c>
      <c r="D67">
        <v>20000</v>
      </c>
      <c r="E67">
        <f t="shared" si="2"/>
        <v>0.52411393977703069</v>
      </c>
      <c r="F67" t="str">
        <f t="shared" si="3"/>
        <v>LC</v>
      </c>
    </row>
    <row r="68" spans="1:6" x14ac:dyDescent="0.25">
      <c r="A68" t="s">
        <v>69</v>
      </c>
      <c r="B68">
        <v>0.38949816629762651</v>
      </c>
      <c r="C68">
        <v>2</v>
      </c>
      <c r="D68">
        <v>0.37</v>
      </c>
      <c r="E68">
        <f t="shared" si="2"/>
        <v>2.2303693349298548E-2</v>
      </c>
      <c r="F68" t="str">
        <f t="shared" si="3"/>
        <v>HC</v>
      </c>
    </row>
    <row r="69" spans="1:6" x14ac:dyDescent="0.25">
      <c r="A69" t="s">
        <v>70</v>
      </c>
      <c r="B69">
        <v>0.97442864245821037</v>
      </c>
      <c r="C69">
        <v>2</v>
      </c>
      <c r="D69">
        <v>2.63</v>
      </c>
      <c r="E69">
        <f t="shared" si="2"/>
        <v>0.43120570731556507</v>
      </c>
      <c r="F69" t="str">
        <f t="shared" si="3"/>
        <v>HC</v>
      </c>
    </row>
    <row r="70" spans="1:6" x14ac:dyDescent="0.25">
      <c r="A70" t="s">
        <v>71</v>
      </c>
      <c r="B70">
        <v>4143.9685698269031</v>
      </c>
      <c r="C70">
        <v>1</v>
      </c>
      <c r="D70">
        <v>40000</v>
      </c>
      <c r="E70">
        <f t="shared" si="2"/>
        <v>0.98464353851030939</v>
      </c>
      <c r="F70" t="str">
        <f t="shared" si="3"/>
        <v>LW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鑫源 马</cp:lastModifiedBy>
  <dcterms:created xsi:type="dcterms:W3CDTF">2026-08-07T05:02:27Z</dcterms:created>
  <dcterms:modified xsi:type="dcterms:W3CDTF">2026-08-16T13:37:42Z</dcterms:modified>
</cp:coreProperties>
</file>