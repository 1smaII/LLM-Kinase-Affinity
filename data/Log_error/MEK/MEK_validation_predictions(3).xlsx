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new\data\epoch 1\MEK\"/>
    </mc:Choice>
  </mc:AlternateContent>
  <xr:revisionPtr revIDLastSave="0" documentId="13_ncr:1_{963B7AF7-F399-477D-9F5D-61C0AF3B6E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edi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<sst xmlns="http://schemas.openxmlformats.org/spreadsheetml/2006/main" count="21" uniqueCount="21">
  <si>
    <t>Sample_ID</t>
  </si>
  <si>
    <t>Predicted_Kd_nM</t>
  </si>
  <si>
    <t>Predicted_Label</t>
  </si>
  <si>
    <t>MEK_val_001</t>
  </si>
  <si>
    <t>MEK_val_002</t>
  </si>
  <si>
    <t>MEK_val_003</t>
  </si>
  <si>
    <t>MEK_val_004</t>
  </si>
  <si>
    <t>MEK_val_006</t>
  </si>
  <si>
    <t>MEK_val_009</t>
  </si>
  <si>
    <t>MEK_val_010</t>
  </si>
  <si>
    <t>MEK_val_012</t>
  </si>
  <si>
    <t>MEK_val_015</t>
  </si>
  <si>
    <t>MEK_val_016</t>
  </si>
  <si>
    <t>MEK_val_019</t>
  </si>
  <si>
    <t>MEK_val_021</t>
  </si>
  <si>
    <t>MEK_val_023</t>
  </si>
  <si>
    <t>MEK_val_025</t>
  </si>
  <si>
    <t>MEK_val_027</t>
  </si>
  <si>
    <t>True_Kd_nM</t>
  </si>
  <si>
    <t>Log Error</t>
  </si>
  <si>
    <t>Category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</si>
</sst>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###"/>
  </numFmts>
  <fonts count="6">
    <font>
      <sz val="11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1" applyFont="1" applyAlignment="1">
      <alignment horizontal="center"/>
    </xf>
    <xf numFmtId="176" fontId="0" fillId="0" borderId="0" xfId="1" applyNumberFormat="1" applyFont="1"/>
    <xf numFmtId="1" fontId="0" fillId="0" borderId="0" xfId="1" applyNumberFormat="1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dictionsTable" displayName="PredictionsTable" ref="A1:F16">
  <tableColumns count="6">
    <tableColumn id="1" xr3:uid="{00000000-0010-0000-0000-000001000000}" name="Sample_ID"/>
    <tableColumn id="2" xr3:uid="{00000000-0010-0000-0000-000002000000}" name="Predicted_Kd_nM"/>
    <tableColumn id="3" xr3:uid="{00000000-0010-0000-0000-000003000000}" name="Predicted_Label"/>
    <tableColumn id="4" xr3:uid="{2363845B-9B45-428F-B09B-A74B264D65DF}" name="True_Kd_nM"/>
    <tableColumn id="5" xr3:uid="{49C8CD43-6C58-4BC7-B1C7-CA96470BE366}" name="Log Error" dataDxfId="1">
      <calculatedColumnFormula>ABS(LOG10(B2)-LOG10(D2))</calculatedColumnFormula>
    </tableColumn>
    <tableColumn id="6" xr3:uid="{90BC0776-D530-4720-A9DD-CC001A9DA3D4}" name="Category" dataDxfId="0">
      <calculatedColumnFormula>IF(D2&lt;100,IF(C2=2,"HC","HW"),IF(D2&gt;=5000,IF(C2=0,"LC","LW"),"EXCLUDE_MEDIUM"))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H8" sqref="H8"/>
    </sheetView>
  </sheetViews>
  <sheetFormatPr defaultRowHeight="13.8"/>
  <cols>
    <col min="1" max="3" width="18" customWidth="1"/>
  </cols>
  <sheetData>
    <row r="1" spans="1:6" ht="14.4">
      <c r="A1" s="1" t="s">
        <v>0</v>
      </c>
      <c r="B1" s="1" t="s">
        <v>1</v>
      </c>
      <c r="C1" s="1" t="s">
        <v>2</v>
      </c>
      <c r="D1" s="4" t="s">
        <v>18</v>
      </c>
      <c r="E1" s="4" t="s">
        <v>19</v>
      </c>
      <c r="F1" s="5" t="s">
        <v>20</v>
      </c>
    </row>
    <row r="2" spans="1:6">
      <c r="A2" t="s">
        <v>3</v>
      </c>
      <c r="B2" s="2">
        <v>28</v>
      </c>
      <c r="C2" s="3">
        <v>2</v>
      </c>
      <c r="D2">
        <v>28</v>
      </c>
      <c r="E2">
        <f t="shared" ref="E2:E16" si="0">ABS(LOG10(B2)-LOG10(D2))</f>
        <v>0</v>
      </c>
      <c r="F2" t="str">
        <f t="shared" ref="F2:F16" si="1">IF(D2&lt;100,IF(C2=2,"HC","HW"),IF(D2&gt;=5000,IF(C2=0,"LC","LW"),"EXCLUDE_MEDIUM"))</f>
        <v>HC</v>
      </c>
    </row>
    <row r="3" spans="1:6">
      <c r="A3" t="s">
        <v>4</v>
      </c>
      <c r="B3" s="2">
        <v>21</v>
      </c>
      <c r="C3" s="3">
        <v>2</v>
      </c>
      <c r="D3">
        <v>21</v>
      </c>
      <c r="E3">
        <f t="shared" si="0"/>
        <v>0</v>
      </c>
      <c r="F3" t="str">
        <f t="shared" si="1"/>
        <v>HC</v>
      </c>
    </row>
    <row r="4" spans="1:6">
      <c r="A4" t="s">
        <v>5</v>
      </c>
      <c r="B4" s="2">
        <v>65000</v>
      </c>
      <c r="C4" s="3">
        <v>0</v>
      </c>
      <c r="D4">
        <v>87000</v>
      </c>
      <c r="E4">
        <f t="shared" si="0"/>
        <v>0.12660589597576255</v>
      </c>
      <c r="F4" t="str">
        <f t="shared" si="1"/>
        <v>LC</v>
      </c>
    </row>
    <row r="5" spans="1:6">
      <c r="A5" t="s">
        <v>6</v>
      </c>
      <c r="B5" s="2">
        <v>384000</v>
      </c>
      <c r="C5" s="3">
        <v>0</v>
      </c>
      <c r="D5">
        <v>572000</v>
      </c>
      <c r="E5">
        <f t="shared" si="0"/>
        <v>0.17306480442549343</v>
      </c>
      <c r="F5" t="str">
        <f t="shared" si="1"/>
        <v>LC</v>
      </c>
    </row>
    <row r="6" spans="1:6">
      <c r="A6" t="s">
        <v>7</v>
      </c>
      <c r="B6" s="2">
        <v>82000</v>
      </c>
      <c r="C6" s="3">
        <v>0</v>
      </c>
      <c r="D6">
        <v>72000</v>
      </c>
      <c r="E6">
        <f t="shared" si="0"/>
        <v>5.6481355952448631E-2</v>
      </c>
      <c r="F6" t="str">
        <f t="shared" si="1"/>
        <v>LC</v>
      </c>
    </row>
    <row r="7" spans="1:6">
      <c r="A7" t="s">
        <v>8</v>
      </c>
      <c r="B7" s="2">
        <v>13</v>
      </c>
      <c r="C7" s="3">
        <v>2</v>
      </c>
      <c r="D7">
        <v>14</v>
      </c>
      <c r="E7">
        <f t="shared" si="0"/>
        <v>3.2184683371401235E-2</v>
      </c>
      <c r="F7" t="str">
        <f t="shared" si="1"/>
        <v>HC</v>
      </c>
    </row>
    <row r="8" spans="1:6">
      <c r="A8" t="s">
        <v>9</v>
      </c>
      <c r="B8" s="2">
        <v>14000</v>
      </c>
      <c r="C8" s="3">
        <v>0</v>
      </c>
      <c r="D8">
        <v>7400</v>
      </c>
      <c r="E8">
        <f t="shared" si="0"/>
        <v>0.27689631594726194</v>
      </c>
      <c r="F8" t="str">
        <f t="shared" si="1"/>
        <v>LC</v>
      </c>
    </row>
    <row r="9" spans="1:6">
      <c r="A9" t="s">
        <v>10</v>
      </c>
      <c r="B9" s="2">
        <v>14200</v>
      </c>
      <c r="C9" s="3">
        <v>0</v>
      </c>
      <c r="D9">
        <v>8300</v>
      </c>
      <c r="E9">
        <f t="shared" si="0"/>
        <v>0.23321025200698298</v>
      </c>
      <c r="F9" t="str">
        <f t="shared" si="1"/>
        <v>LC</v>
      </c>
    </row>
    <row r="10" spans="1:6">
      <c r="A10" t="s">
        <v>11</v>
      </c>
      <c r="B10" s="2">
        <v>45</v>
      </c>
      <c r="C10" s="3">
        <v>2</v>
      </c>
      <c r="D10">
        <v>3.5</v>
      </c>
      <c r="E10">
        <f t="shared" si="0"/>
        <v>1.1091444694250681</v>
      </c>
      <c r="F10" t="str">
        <f t="shared" si="1"/>
        <v>HC</v>
      </c>
    </row>
    <row r="11" spans="1:6">
      <c r="A11" t="s">
        <v>12</v>
      </c>
      <c r="B11" s="2">
        <v>138000</v>
      </c>
      <c r="C11" s="3">
        <v>0</v>
      </c>
      <c r="D11">
        <v>275000</v>
      </c>
      <c r="E11">
        <f t="shared" si="0"/>
        <v>0.29945360742902594</v>
      </c>
      <c r="F11" t="str">
        <f t="shared" si="1"/>
        <v>LC</v>
      </c>
    </row>
    <row r="12" spans="1:6">
      <c r="A12" t="s">
        <v>13</v>
      </c>
      <c r="B12" s="2">
        <v>2400</v>
      </c>
      <c r="C12" s="3">
        <v>1</v>
      </c>
      <c r="D12">
        <v>10000</v>
      </c>
      <c r="E12">
        <f t="shared" si="0"/>
        <v>0.61978875828839408</v>
      </c>
      <c r="F12" t="str">
        <f t="shared" si="1"/>
        <v>LW</v>
      </c>
    </row>
    <row r="13" spans="1:6">
      <c r="A13" t="s">
        <v>14</v>
      </c>
      <c r="B13" s="2">
        <v>488000</v>
      </c>
      <c r="C13" s="3">
        <v>0</v>
      </c>
      <c r="D13">
        <v>487000</v>
      </c>
      <c r="E13">
        <f t="shared" si="0"/>
        <v>8.9086078807643077E-4</v>
      </c>
      <c r="F13" t="str">
        <f t="shared" si="1"/>
        <v>LC</v>
      </c>
    </row>
    <row r="14" spans="1:6">
      <c r="A14" t="s">
        <v>15</v>
      </c>
      <c r="B14" s="2">
        <v>50</v>
      </c>
      <c r="C14" s="3">
        <v>2</v>
      </c>
      <c r="D14">
        <v>3.9</v>
      </c>
      <c r="E14">
        <f t="shared" si="0"/>
        <v>1.1079053973095196</v>
      </c>
      <c r="F14" t="str">
        <f t="shared" si="1"/>
        <v>HC</v>
      </c>
    </row>
    <row r="15" spans="1:6">
      <c r="A15" t="s">
        <v>16</v>
      </c>
      <c r="B15" s="2">
        <v>16000</v>
      </c>
      <c r="C15" s="3">
        <v>0</v>
      </c>
      <c r="D15">
        <v>19000</v>
      </c>
      <c r="E15">
        <f t="shared" si="0"/>
        <v>7.4633618296903848E-2</v>
      </c>
      <c r="F15" t="str">
        <f t="shared" si="1"/>
        <v>LC</v>
      </c>
    </row>
    <row r="16" spans="1:6">
      <c r="A16" t="s">
        <v>17</v>
      </c>
      <c r="B16" s="2">
        <v>2000</v>
      </c>
      <c r="C16" s="3">
        <v>1</v>
      </c>
      <c r="D16">
        <v>5600</v>
      </c>
      <c r="E16">
        <f t="shared" si="0"/>
        <v>0.44715803134221899</v>
      </c>
      <c r="F16" t="str">
        <f t="shared" si="1"/>
        <v>LW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鑫源 马</cp:lastModifiedBy>
  <dcterms:modified xsi:type="dcterms:W3CDTF">2026-08-16T13:39:03Z</dcterms:modified>
</cp:coreProperties>
</file>