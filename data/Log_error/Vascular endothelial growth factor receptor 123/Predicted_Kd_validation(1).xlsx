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-new\data\epoch 1\Vascular endothelial growth factor receptor 123\"/>
    </mc:Choice>
  </mc:AlternateContent>
  <xr:revisionPtr revIDLastSave="0" documentId="13_ncr:1_{B0D9D67E-7B5F-49E3-8D20-766CDE26B1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edi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" i="1"/>
</calcChain>
</file>

<file path=xl/sharedStrings.xml><?xml version="1.0" encoding="utf-8"?>
<sst xmlns="http://schemas.openxmlformats.org/spreadsheetml/2006/main" count="33" uniqueCount="33">
  <si>
    <t>Sample_ID</t>
  </si>
  <si>
    <t>Predicted_Kd_nM</t>
  </si>
  <si>
    <t>Predicted_Label</t>
  </si>
  <si>
    <t>VAS_val_001</t>
  </si>
  <si>
    <t>VAS_val_002</t>
  </si>
  <si>
    <t>VAS_val_003</t>
  </si>
  <si>
    <t>VAS_val_005</t>
  </si>
  <si>
    <t>VAS_val_006</t>
  </si>
  <si>
    <t>VAS_val_008</t>
  </si>
  <si>
    <t>VAS_val_010</t>
  </si>
  <si>
    <t>VAS_val_013</t>
  </si>
  <si>
    <t>VAS_val_015</t>
  </si>
  <si>
    <t>VAS_val_016</t>
  </si>
  <si>
    <t>VAS_val_017</t>
  </si>
  <si>
    <t>VAS_val_020</t>
  </si>
  <si>
    <t>VAS_val_022</t>
  </si>
  <si>
    <t>VAS_val_025</t>
  </si>
  <si>
    <t>VAS_val_026</t>
  </si>
  <si>
    <t>VAS_val_031</t>
  </si>
  <si>
    <t>VAS_val_032</t>
  </si>
  <si>
    <t>VAS_val_033</t>
  </si>
  <si>
    <t>VAS_val_034</t>
  </si>
  <si>
    <t>VAS_val_036</t>
  </si>
  <si>
    <t>VAS_val_043</t>
  </si>
  <si>
    <t>VAS_val_044</t>
  </si>
  <si>
    <t>VAS_val_045</t>
  </si>
  <si>
    <t>VAS_val_046</t>
  </si>
  <si>
    <t>VAS_val_048</t>
  </si>
  <si>
    <t>VAS_val_049</t>
  </si>
  <si>
    <t>VAS_val_051</t>
  </si>
  <si>
    <t>True_Kd_nM</t>
  </si>
  <si>
    <t>Log Error</t>
  </si>
  <si>
    <t>Category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</si>
</sst>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1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H3" sqref="H3"/>
    </sheetView>
  </sheetViews>
  <sheetFormatPr defaultRowHeight="13.8"/>
  <cols>
    <col min="1" max="1" width="10.09765625" customWidth="1"/>
    <col min="2" max="2" width="14.09765625" customWidth="1"/>
    <col min="3" max="3" width="12.69921875" customWidth="1"/>
  </cols>
  <sheetData>
    <row r="1" spans="1:6" ht="14.4">
      <c r="A1" s="1" t="s">
        <v>0</v>
      </c>
      <c r="B1" s="1" t="s">
        <v>1</v>
      </c>
      <c r="C1" s="1" t="s">
        <v>2</v>
      </c>
      <c r="D1" s="2" t="s">
        <v>30</v>
      </c>
      <c r="E1" s="2" t="s">
        <v>31</v>
      </c>
      <c r="F1" s="3" t="s">
        <v>32</v>
      </c>
    </row>
    <row r="2" spans="1:6">
      <c r="A2" t="s">
        <v>3</v>
      </c>
      <c r="B2">
        <v>9971.2999999999993</v>
      </c>
      <c r="C2">
        <v>0</v>
      </c>
      <c r="D2">
        <v>10000</v>
      </c>
      <c r="E2">
        <f>ABS(LOG10(B2)-LOG10(D2))</f>
        <v>1.2482172127810109E-3</v>
      </c>
      <c r="F2" t="str">
        <f>IF(D2&lt;100,IF(C2=2,"HC","HW"),IF(D2&gt;=5000,IF(C2=0,"LC","LW"),"EXCLUDE_MEDIUM"))</f>
        <v>LC</v>
      </c>
    </row>
    <row r="3" spans="1:6">
      <c r="A3" t="s">
        <v>4</v>
      </c>
      <c r="B3">
        <v>90.161000000000001</v>
      </c>
      <c r="C3">
        <v>2</v>
      </c>
      <c r="D3">
        <v>32</v>
      </c>
      <c r="E3">
        <f t="shared" ref="E3:E28" si="0">ABS(LOG10(B3)-LOG10(D3))</f>
        <v>0.44986874162224177</v>
      </c>
      <c r="F3" t="str">
        <f t="shared" ref="F3:F28" si="1">IF(D3&lt;100,IF(C3=2,"HC","HW"),IF(D3&gt;=5000,IF(C3=0,"LC","LW"),"EXCLUDE_MEDIUM"))</f>
        <v>HC</v>
      </c>
    </row>
    <row r="4" spans="1:6">
      <c r="A4" t="s">
        <v>5</v>
      </c>
      <c r="B4">
        <v>10000</v>
      </c>
      <c r="C4">
        <v>0</v>
      </c>
      <c r="D4">
        <v>10000</v>
      </c>
      <c r="E4">
        <f t="shared" si="0"/>
        <v>0</v>
      </c>
      <c r="F4" t="str">
        <f t="shared" si="1"/>
        <v>LC</v>
      </c>
    </row>
    <row r="5" spans="1:6">
      <c r="A5" t="s">
        <v>6</v>
      </c>
      <c r="B5">
        <v>130528.6</v>
      </c>
      <c r="C5">
        <v>0</v>
      </c>
      <c r="D5">
        <v>380000</v>
      </c>
      <c r="E5">
        <f t="shared" si="0"/>
        <v>0.4640779166564899</v>
      </c>
      <c r="F5" t="str">
        <f t="shared" si="1"/>
        <v>LC</v>
      </c>
    </row>
    <row r="6" spans="1:6">
      <c r="A6" t="s">
        <v>7</v>
      </c>
      <c r="B6">
        <v>28.010999999999999</v>
      </c>
      <c r="C6">
        <v>2</v>
      </c>
      <c r="D6">
        <v>0.62</v>
      </c>
      <c r="E6">
        <f t="shared" si="0"/>
        <v>1.6549369240282632</v>
      </c>
      <c r="F6" t="str">
        <f t="shared" si="1"/>
        <v>HC</v>
      </c>
    </row>
    <row r="7" spans="1:6">
      <c r="A7" t="s">
        <v>8</v>
      </c>
      <c r="B7">
        <v>56000</v>
      </c>
      <c r="C7">
        <v>0</v>
      </c>
      <c r="D7">
        <v>56000</v>
      </c>
      <c r="E7">
        <f t="shared" si="0"/>
        <v>0</v>
      </c>
      <c r="F7" t="str">
        <f t="shared" si="1"/>
        <v>LC</v>
      </c>
    </row>
    <row r="8" spans="1:6">
      <c r="A8" t="s">
        <v>9</v>
      </c>
      <c r="B8">
        <v>9924.5</v>
      </c>
      <c r="C8">
        <v>0</v>
      </c>
      <c r="D8">
        <v>10000</v>
      </c>
      <c r="E8">
        <f t="shared" si="0"/>
        <v>3.2913639311789034E-3</v>
      </c>
      <c r="F8" t="str">
        <f t="shared" si="1"/>
        <v>LC</v>
      </c>
    </row>
    <row r="9" spans="1:6">
      <c r="A9" t="s">
        <v>10</v>
      </c>
      <c r="B9">
        <v>8700</v>
      </c>
      <c r="C9">
        <v>0</v>
      </c>
      <c r="D9">
        <v>8700</v>
      </c>
      <c r="E9">
        <f t="shared" si="0"/>
        <v>0</v>
      </c>
      <c r="F9" t="str">
        <f t="shared" si="1"/>
        <v>LC</v>
      </c>
    </row>
    <row r="10" spans="1:6">
      <c r="A10" t="s">
        <v>11</v>
      </c>
      <c r="B10">
        <v>200.23099999999999</v>
      </c>
      <c r="C10">
        <v>1</v>
      </c>
      <c r="D10">
        <v>10000</v>
      </c>
      <c r="E10">
        <f t="shared" si="0"/>
        <v>1.698468683666408</v>
      </c>
      <c r="F10" t="str">
        <f t="shared" si="1"/>
        <v>LW</v>
      </c>
    </row>
    <row r="11" spans="1:6">
      <c r="A11" t="s">
        <v>12</v>
      </c>
      <c r="B11">
        <v>42.521000000000001</v>
      </c>
      <c r="C11">
        <v>2</v>
      </c>
      <c r="D11">
        <v>31</v>
      </c>
      <c r="E11">
        <f t="shared" si="0"/>
        <v>0.13724177578403829</v>
      </c>
      <c r="F11" t="str">
        <f t="shared" si="1"/>
        <v>HC</v>
      </c>
    </row>
    <row r="12" spans="1:6">
      <c r="A12" t="s">
        <v>13</v>
      </c>
      <c r="B12">
        <v>9880.7000000000007</v>
      </c>
      <c r="C12">
        <v>0</v>
      </c>
      <c r="D12">
        <v>10000</v>
      </c>
      <c r="E12">
        <f t="shared" si="0"/>
        <v>5.2122866503889753E-3</v>
      </c>
      <c r="F12" t="str">
        <f t="shared" si="1"/>
        <v>LC</v>
      </c>
    </row>
    <row r="13" spans="1:6">
      <c r="A13" t="s">
        <v>14</v>
      </c>
      <c r="B13">
        <v>5.0620000000000003</v>
      </c>
      <c r="C13">
        <v>2</v>
      </c>
      <c r="D13">
        <v>2.9</v>
      </c>
      <c r="E13">
        <f t="shared" si="0"/>
        <v>0.24192414292327935</v>
      </c>
      <c r="F13" t="str">
        <f t="shared" si="1"/>
        <v>HC</v>
      </c>
    </row>
    <row r="14" spans="1:6">
      <c r="A14" t="s">
        <v>15</v>
      </c>
      <c r="B14">
        <v>31000</v>
      </c>
      <c r="C14">
        <v>0</v>
      </c>
      <c r="D14">
        <v>31000</v>
      </c>
      <c r="E14">
        <f t="shared" si="0"/>
        <v>0</v>
      </c>
      <c r="F14" t="str">
        <f t="shared" si="1"/>
        <v>LC</v>
      </c>
    </row>
    <row r="15" spans="1:6">
      <c r="A15" t="s">
        <v>16</v>
      </c>
      <c r="B15">
        <v>9983.2999999999993</v>
      </c>
      <c r="C15">
        <v>0</v>
      </c>
      <c r="D15">
        <v>10000</v>
      </c>
      <c r="E15">
        <f t="shared" si="0"/>
        <v>7.258780618011329E-4</v>
      </c>
      <c r="F15" t="str">
        <f t="shared" si="1"/>
        <v>LC</v>
      </c>
    </row>
    <row r="16" spans="1:6">
      <c r="A16" t="s">
        <v>17</v>
      </c>
      <c r="B16">
        <v>11.981</v>
      </c>
      <c r="C16">
        <v>2</v>
      </c>
      <c r="D16">
        <v>16</v>
      </c>
      <c r="E16">
        <f t="shared" si="0"/>
        <v>0.12562691448935182</v>
      </c>
      <c r="F16" t="str">
        <f t="shared" si="1"/>
        <v>HC</v>
      </c>
    </row>
    <row r="17" spans="1:6">
      <c r="A17" t="s">
        <v>18</v>
      </c>
      <c r="B17">
        <v>9997.2999999999993</v>
      </c>
      <c r="C17">
        <v>0</v>
      </c>
      <c r="D17">
        <v>10000</v>
      </c>
      <c r="E17">
        <f t="shared" si="0"/>
        <v>1.1727534299765807E-4</v>
      </c>
      <c r="F17" t="str">
        <f t="shared" si="1"/>
        <v>LC</v>
      </c>
    </row>
    <row r="18" spans="1:6">
      <c r="A18" t="s">
        <v>19</v>
      </c>
      <c r="B18">
        <v>9972.6</v>
      </c>
      <c r="C18">
        <v>0</v>
      </c>
      <c r="D18">
        <v>10000</v>
      </c>
      <c r="E18">
        <f t="shared" si="0"/>
        <v>1.1916001191059067E-3</v>
      </c>
      <c r="F18" t="str">
        <f t="shared" si="1"/>
        <v>LC</v>
      </c>
    </row>
    <row r="19" spans="1:6">
      <c r="A19" t="s">
        <v>20</v>
      </c>
      <c r="B19">
        <v>8.1</v>
      </c>
      <c r="C19">
        <v>2</v>
      </c>
      <c r="D19">
        <v>7.5</v>
      </c>
      <c r="E19">
        <f t="shared" si="0"/>
        <v>3.3423755486949647E-2</v>
      </c>
      <c r="F19" t="str">
        <f t="shared" si="1"/>
        <v>HC</v>
      </c>
    </row>
    <row r="20" spans="1:6">
      <c r="A20" t="s">
        <v>21</v>
      </c>
      <c r="B20">
        <v>25000</v>
      </c>
      <c r="C20">
        <v>0</v>
      </c>
      <c r="D20">
        <v>25000</v>
      </c>
      <c r="E20">
        <f t="shared" si="0"/>
        <v>0</v>
      </c>
      <c r="F20" t="str">
        <f t="shared" si="1"/>
        <v>LC</v>
      </c>
    </row>
    <row r="21" spans="1:6">
      <c r="A21" t="s">
        <v>22</v>
      </c>
      <c r="B21">
        <v>37.665999999999997</v>
      </c>
      <c r="C21">
        <v>2</v>
      </c>
      <c r="D21">
        <v>22</v>
      </c>
      <c r="E21">
        <f t="shared" si="0"/>
        <v>0.23352682124552882</v>
      </c>
      <c r="F21" t="str">
        <f t="shared" si="1"/>
        <v>HC</v>
      </c>
    </row>
    <row r="22" spans="1:6">
      <c r="A22" t="s">
        <v>23</v>
      </c>
      <c r="B22">
        <v>27000</v>
      </c>
      <c r="C22">
        <v>0</v>
      </c>
      <c r="D22">
        <v>27000</v>
      </c>
      <c r="E22">
        <f t="shared" si="0"/>
        <v>0</v>
      </c>
      <c r="F22" t="str">
        <f t="shared" si="1"/>
        <v>LC</v>
      </c>
    </row>
    <row r="23" spans="1:6">
      <c r="A23" t="s">
        <v>24</v>
      </c>
      <c r="B23">
        <v>10000</v>
      </c>
      <c r="C23">
        <v>0</v>
      </c>
      <c r="D23">
        <v>10000</v>
      </c>
      <c r="E23">
        <f t="shared" si="0"/>
        <v>0</v>
      </c>
      <c r="F23" t="str">
        <f t="shared" si="1"/>
        <v>LC</v>
      </c>
    </row>
    <row r="24" spans="1:6">
      <c r="A24" t="s">
        <v>25</v>
      </c>
      <c r="B24">
        <v>68.775999999999996</v>
      </c>
      <c r="C24">
        <v>2</v>
      </c>
      <c r="D24">
        <v>68</v>
      </c>
      <c r="E24">
        <f t="shared" si="0"/>
        <v>4.9280010239627359E-3</v>
      </c>
      <c r="F24" t="str">
        <f t="shared" si="1"/>
        <v>HC</v>
      </c>
    </row>
    <row r="25" spans="1:6">
      <c r="A25" t="s">
        <v>26</v>
      </c>
      <c r="B25">
        <v>29.978999999999999</v>
      </c>
      <c r="C25">
        <v>2</v>
      </c>
      <c r="D25">
        <v>27</v>
      </c>
      <c r="E25">
        <f t="shared" si="0"/>
        <v>4.5453377971514275E-2</v>
      </c>
      <c r="F25" t="str">
        <f t="shared" si="1"/>
        <v>HC</v>
      </c>
    </row>
    <row r="26" spans="1:6">
      <c r="A26" t="s">
        <v>27</v>
      </c>
      <c r="B26">
        <v>87.988</v>
      </c>
      <c r="C26">
        <v>2</v>
      </c>
      <c r="D26">
        <v>86</v>
      </c>
      <c r="E26">
        <f t="shared" si="0"/>
        <v>9.9249948935669075E-3</v>
      </c>
      <c r="F26" t="str">
        <f t="shared" si="1"/>
        <v>HC</v>
      </c>
    </row>
    <row r="27" spans="1:6">
      <c r="A27" t="s">
        <v>28</v>
      </c>
      <c r="B27">
        <v>89044.7</v>
      </c>
      <c r="C27">
        <v>0</v>
      </c>
      <c r="D27">
        <v>510000</v>
      </c>
      <c r="E27">
        <f t="shared" si="0"/>
        <v>0.75796210102696104</v>
      </c>
      <c r="F27" t="str">
        <f t="shared" si="1"/>
        <v>LC</v>
      </c>
    </row>
    <row r="28" spans="1:6">
      <c r="A28" t="s">
        <v>29</v>
      </c>
      <c r="B28">
        <v>9983.2000000000007</v>
      </c>
      <c r="C28">
        <v>0</v>
      </c>
      <c r="D28">
        <v>10000</v>
      </c>
      <c r="E28">
        <f t="shared" si="0"/>
        <v>7.3022829325797289E-4</v>
      </c>
      <c r="F28" t="str">
        <f t="shared" si="1"/>
        <v>LC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鑫源 马</cp:lastModifiedBy>
  <dcterms:modified xsi:type="dcterms:W3CDTF">2026-08-16T13:41:24Z</dcterms:modified>
</cp:coreProperties>
</file>