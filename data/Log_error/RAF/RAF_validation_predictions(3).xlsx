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new\data\epoch 1\RAF\"/>
    </mc:Choice>
  </mc:AlternateContent>
  <xr:revisionPtr revIDLastSave="0" documentId="13_ncr:1_{812FE17F-3991-4722-A99E-A849352338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edi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</calcChain>
</file>

<file path=xl/sharedStrings.xml><?xml version="1.0" encoding="utf-8"?>
<sst xmlns="http://schemas.openxmlformats.org/spreadsheetml/2006/main" count="29" uniqueCount="29">
  <si>
    <t>Sample_ID</t>
  </si>
  <si>
    <t>Predicted_Kd_nM</t>
  </si>
  <si>
    <t>Predicted_Label</t>
  </si>
  <si>
    <t>RAF_val_001</t>
  </si>
  <si>
    <t>RAF_val_002</t>
  </si>
  <si>
    <t>RAF_val_003</t>
  </si>
  <si>
    <t>RAF_val_004</t>
  </si>
  <si>
    <t>RAF_val_010</t>
  </si>
  <si>
    <t>RAF_val_011</t>
  </si>
  <si>
    <t>RAF_val_012</t>
  </si>
  <si>
    <t>RAF_val_013</t>
  </si>
  <si>
    <t>RAF_val_014</t>
  </si>
  <si>
    <t>RAF_val_015</t>
  </si>
  <si>
    <t>RAF_val_016</t>
  </si>
  <si>
    <t>RAF_val_017</t>
  </si>
  <si>
    <t>RAF_val_018</t>
  </si>
  <si>
    <t>RAF_val_019</t>
  </si>
  <si>
    <t>RAF_val_020</t>
  </si>
  <si>
    <t>RAF_val_021</t>
  </si>
  <si>
    <t>RAF_val_022</t>
  </si>
  <si>
    <t>RAF_val_023</t>
  </si>
  <si>
    <t>RAF_val_024</t>
  </si>
  <si>
    <t>RAF_val_025</t>
  </si>
  <si>
    <t>RAF_val_026</t>
  </si>
  <si>
    <t>RAF_val_027</t>
  </si>
  <si>
    <t>RAF_val_034</t>
  </si>
  <si>
    <t>True_Kd_nM</t>
  </si>
  <si>
    <t>Log Error</t>
  </si>
  <si>
    <t>Category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</si>
</sst>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 applyAlignment="1">
      <alignment horizontal="center" vertical="center"/>
    </xf>
    <xf numFmtId="49" fontId="0" fillId="0" borderId="0" xfId="1" applyNumberFormat="1" applyFont="1"/>
    <xf numFmtId="2" fontId="0" fillId="0" borderId="0" xfId="1" applyNumberFormat="1" applyFont="1"/>
    <xf numFmtId="1" fontId="0" fillId="0" borderId="0" xfId="1" applyNumberFormat="1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</cellXfs>
  <cellStyles count="3">
    <cellStyle name="Normal" xfId="1" xr:uid="{00000000-0005-0000-0000-000000000000}"/>
    <cellStyle name="常规" xfId="0" builtinId="0"/>
    <cellStyle name="常规 2" xfId="2" xr:uid="{AFF5AFCD-A593-436D-AE94-EFBA9EC9A80E}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dictionsTable" displayName="PredictionsTable" ref="A1:F24">
  <tableColumns count="6">
    <tableColumn id="1" xr3:uid="{00000000-0010-0000-0000-000001000000}" name="Sample_ID"/>
    <tableColumn id="2" xr3:uid="{00000000-0010-0000-0000-000002000000}" name="Predicted_Kd_nM"/>
    <tableColumn id="3" xr3:uid="{00000000-0010-0000-0000-000003000000}" name="Predicted_Label"/>
    <tableColumn id="4" xr3:uid="{C7D51B17-A5FF-469F-A2C7-11226C0E9F2B}" name="True_Kd_nM"/>
    <tableColumn id="5" xr3:uid="{B50A4DC7-6A65-4671-BDD5-20220ED5EE15}" name="Log Error">
      <calculatedColumnFormula>ABS(LOG10(B2)-LOG10(D2))</calculatedColumnFormula>
    </tableColumn>
    <tableColumn id="6" xr3:uid="{C36CDC12-E30E-4389-8581-D092E7048DAE}" name="Category" dataDxfId="0">
      <calculatedColumnFormula>IF(D2&lt;100,IF(C2=2,"HC","HW"),IF(D2&gt;=5000,IF(C2=0,"LC","LW"),"EXCLUDE_MEDIUM"))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H8" sqref="H8"/>
    </sheetView>
  </sheetViews>
  <sheetFormatPr defaultRowHeight="13.8"/>
  <cols>
    <col min="1" max="2" width="18" customWidth="1"/>
    <col min="3" max="3" width="16" customWidth="1"/>
  </cols>
  <sheetData>
    <row r="1" spans="1:6" ht="14.4">
      <c r="A1" s="1" t="s">
        <v>0</v>
      </c>
      <c r="B1" s="1" t="s">
        <v>1</v>
      </c>
      <c r="C1" s="1" t="s">
        <v>2</v>
      </c>
      <c r="D1" s="5" t="s">
        <v>26</v>
      </c>
      <c r="E1" s="5" t="s">
        <v>27</v>
      </c>
      <c r="F1" s="6" t="s">
        <v>28</v>
      </c>
    </row>
    <row r="2" spans="1:6">
      <c r="A2" s="2" t="s">
        <v>3</v>
      </c>
      <c r="B2" s="3">
        <v>108</v>
      </c>
      <c r="C2" s="4">
        <v>1</v>
      </c>
      <c r="D2">
        <v>9800</v>
      </c>
      <c r="E2">
        <f>ABS(LOG10(B2)-LOG10(D2))</f>
        <v>1.9578023202055448</v>
      </c>
      <c r="F2" t="str">
        <f t="shared" ref="F2:F24" si="0">IF(D2&lt;100,IF(C2=2,"HC","HW"),IF(D2&gt;=5000,IF(C2=0,"LC","LW"),"EXCLUDE_MEDIUM"))</f>
        <v>LW</v>
      </c>
    </row>
    <row r="3" spans="1:6">
      <c r="A3" s="2" t="s">
        <v>4</v>
      </c>
      <c r="B3" s="3">
        <v>108</v>
      </c>
      <c r="C3" s="4">
        <v>1</v>
      </c>
      <c r="D3">
        <v>9300</v>
      </c>
      <c r="E3">
        <f t="shared" ref="E3:E24" si="1">ABS(LOG10(B3)-LOG10(D3))</f>
        <v>1.9350591930669854</v>
      </c>
      <c r="F3" t="str">
        <f t="shared" si="0"/>
        <v>LW</v>
      </c>
    </row>
    <row r="4" spans="1:6">
      <c r="A4" s="2" t="s">
        <v>5</v>
      </c>
      <c r="B4" s="3">
        <v>5800</v>
      </c>
      <c r="C4" s="4">
        <v>0</v>
      </c>
      <c r="D4">
        <v>5100</v>
      </c>
      <c r="E4">
        <f t="shared" si="1"/>
        <v>5.5857817465001069E-2</v>
      </c>
      <c r="F4" t="str">
        <f t="shared" si="0"/>
        <v>LC</v>
      </c>
    </row>
    <row r="5" spans="1:6">
      <c r="A5" s="2" t="s">
        <v>6</v>
      </c>
      <c r="B5" s="3">
        <v>7800</v>
      </c>
      <c r="C5" s="4">
        <v>0</v>
      </c>
      <c r="D5">
        <v>11800</v>
      </c>
      <c r="E5">
        <f t="shared" si="1"/>
        <v>0.17978740461564469</v>
      </c>
      <c r="F5" t="str">
        <f t="shared" si="0"/>
        <v>LC</v>
      </c>
    </row>
    <row r="6" spans="1:6">
      <c r="A6" s="2" t="s">
        <v>7</v>
      </c>
      <c r="B6" s="3">
        <v>2.15</v>
      </c>
      <c r="C6" s="4">
        <v>2</v>
      </c>
      <c r="D6">
        <v>2.7</v>
      </c>
      <c r="E6">
        <f t="shared" si="1"/>
        <v>9.8925304243382028E-2</v>
      </c>
      <c r="F6" t="str">
        <f t="shared" si="0"/>
        <v>HC</v>
      </c>
    </row>
    <row r="7" spans="1:6">
      <c r="A7" s="2" t="s">
        <v>8</v>
      </c>
      <c r="B7" s="3">
        <v>0.16</v>
      </c>
      <c r="C7" s="4">
        <v>2</v>
      </c>
      <c r="D7">
        <v>0.3</v>
      </c>
      <c r="E7">
        <f t="shared" si="1"/>
        <v>0.27300127206373759</v>
      </c>
      <c r="F7" t="str">
        <f t="shared" si="0"/>
        <v>HC</v>
      </c>
    </row>
    <row r="8" spans="1:6">
      <c r="A8" s="2" t="s">
        <v>9</v>
      </c>
      <c r="B8" s="3">
        <v>5.54</v>
      </c>
      <c r="C8" s="4">
        <v>2</v>
      </c>
      <c r="D8">
        <v>10</v>
      </c>
      <c r="E8">
        <f t="shared" si="1"/>
        <v>0.25649023527157022</v>
      </c>
      <c r="F8" t="str">
        <f t="shared" si="0"/>
        <v>HC</v>
      </c>
    </row>
    <row r="9" spans="1:6">
      <c r="A9" s="2" t="s">
        <v>10</v>
      </c>
      <c r="B9" s="3">
        <v>0.19</v>
      </c>
      <c r="C9" s="4">
        <v>2</v>
      </c>
      <c r="D9">
        <v>0.18</v>
      </c>
      <c r="E9">
        <f t="shared" si="1"/>
        <v>2.3481095849522959E-2</v>
      </c>
      <c r="F9" t="str">
        <f t="shared" si="0"/>
        <v>HC</v>
      </c>
    </row>
    <row r="10" spans="1:6">
      <c r="A10" s="2" t="s">
        <v>11</v>
      </c>
      <c r="B10" s="3">
        <v>0.35</v>
      </c>
      <c r="C10" s="4">
        <v>2</v>
      </c>
      <c r="D10">
        <v>2.4</v>
      </c>
      <c r="E10">
        <f t="shared" si="1"/>
        <v>0.83614319736133047</v>
      </c>
      <c r="F10" t="str">
        <f t="shared" si="0"/>
        <v>HC</v>
      </c>
    </row>
    <row r="11" spans="1:6">
      <c r="A11" s="2" t="s">
        <v>12</v>
      </c>
      <c r="B11" s="3">
        <v>79.3</v>
      </c>
      <c r="C11" s="4">
        <v>2</v>
      </c>
      <c r="D11">
        <v>67</v>
      </c>
      <c r="E11">
        <f t="shared" si="1"/>
        <v>7.3198384616777412E-2</v>
      </c>
      <c r="F11" t="str">
        <f t="shared" si="0"/>
        <v>HC</v>
      </c>
    </row>
    <row r="12" spans="1:6">
      <c r="A12" s="2" t="s">
        <v>13</v>
      </c>
      <c r="B12" s="3">
        <v>0.37</v>
      </c>
      <c r="C12" s="4">
        <v>2</v>
      </c>
      <c r="D12">
        <v>0.7</v>
      </c>
      <c r="E12">
        <f t="shared" si="1"/>
        <v>0.27689631594726183</v>
      </c>
      <c r="F12" t="str">
        <f t="shared" si="0"/>
        <v>HC</v>
      </c>
    </row>
    <row r="13" spans="1:6">
      <c r="A13" s="2" t="s">
        <v>14</v>
      </c>
      <c r="B13" s="3">
        <v>4.4000000000000004</v>
      </c>
      <c r="C13" s="4">
        <v>2</v>
      </c>
      <c r="D13">
        <v>5.7</v>
      </c>
      <c r="E13">
        <f t="shared" si="1"/>
        <v>0.11242217918630404</v>
      </c>
      <c r="F13" t="str">
        <f t="shared" si="0"/>
        <v>HC</v>
      </c>
    </row>
    <row r="14" spans="1:6">
      <c r="A14" s="2" t="s">
        <v>15</v>
      </c>
      <c r="B14" s="3">
        <v>3.69</v>
      </c>
      <c r="C14" s="4">
        <v>2</v>
      </c>
      <c r="D14">
        <v>1.7</v>
      </c>
      <c r="E14">
        <f t="shared" si="1"/>
        <v>0.33657744478078644</v>
      </c>
      <c r="F14" t="str">
        <f t="shared" si="0"/>
        <v>HC</v>
      </c>
    </row>
    <row r="15" spans="1:6">
      <c r="A15" s="2" t="s">
        <v>16</v>
      </c>
      <c r="B15" s="3">
        <v>70.7</v>
      </c>
      <c r="C15" s="4">
        <v>2</v>
      </c>
      <c r="D15">
        <v>72</v>
      </c>
      <c r="E15">
        <f t="shared" si="1"/>
        <v>7.913082634369184E-3</v>
      </c>
      <c r="F15" t="str">
        <f t="shared" si="0"/>
        <v>HC</v>
      </c>
    </row>
    <row r="16" spans="1:6">
      <c r="A16" s="2" t="s">
        <v>17</v>
      </c>
      <c r="B16" s="3">
        <v>51</v>
      </c>
      <c r="C16" s="4">
        <v>2</v>
      </c>
      <c r="D16">
        <v>58</v>
      </c>
      <c r="E16">
        <f t="shared" si="1"/>
        <v>5.5857817465001069E-2</v>
      </c>
      <c r="F16" t="str">
        <f t="shared" si="0"/>
        <v>HC</v>
      </c>
    </row>
    <row r="17" spans="1:6">
      <c r="A17" s="2" t="s">
        <v>18</v>
      </c>
      <c r="B17" s="3">
        <v>65.900000000000006</v>
      </c>
      <c r="C17" s="4">
        <v>2</v>
      </c>
      <c r="D17">
        <v>56</v>
      </c>
      <c r="E17">
        <f t="shared" si="1"/>
        <v>7.0697387587809413E-2</v>
      </c>
      <c r="F17" t="str">
        <f t="shared" si="0"/>
        <v>HC</v>
      </c>
    </row>
    <row r="18" spans="1:6">
      <c r="A18" s="2" t="s">
        <v>19</v>
      </c>
      <c r="B18" s="3">
        <v>52.8</v>
      </c>
      <c r="C18" s="4">
        <v>2</v>
      </c>
      <c r="D18">
        <v>96</v>
      </c>
      <c r="E18">
        <f t="shared" si="1"/>
        <v>0.25963731050575611</v>
      </c>
      <c r="F18" t="str">
        <f t="shared" si="0"/>
        <v>HC</v>
      </c>
    </row>
    <row r="19" spans="1:6">
      <c r="A19" s="2" t="s">
        <v>20</v>
      </c>
      <c r="B19" s="3">
        <v>0.33</v>
      </c>
      <c r="C19" s="4">
        <v>2</v>
      </c>
      <c r="D19">
        <v>0.37</v>
      </c>
      <c r="E19">
        <f t="shared" si="1"/>
        <v>4.9687784189107465E-2</v>
      </c>
      <c r="F19" t="str">
        <f t="shared" si="0"/>
        <v>HC</v>
      </c>
    </row>
    <row r="20" spans="1:6">
      <c r="A20" s="2" t="s">
        <v>21</v>
      </c>
      <c r="B20" s="3">
        <v>7.3</v>
      </c>
      <c r="C20" s="4">
        <v>2</v>
      </c>
      <c r="D20">
        <v>5.0999999999999996</v>
      </c>
      <c r="E20">
        <f t="shared" si="1"/>
        <v>0.15575268402251952</v>
      </c>
      <c r="F20" t="str">
        <f t="shared" si="0"/>
        <v>HC</v>
      </c>
    </row>
    <row r="21" spans="1:6">
      <c r="A21" s="2" t="s">
        <v>22</v>
      </c>
      <c r="B21" s="3">
        <v>130</v>
      </c>
      <c r="C21" s="4">
        <v>1</v>
      </c>
      <c r="D21">
        <v>46</v>
      </c>
      <c r="E21">
        <f t="shared" si="1"/>
        <v>0.45118552062526285</v>
      </c>
      <c r="F21" t="str">
        <f t="shared" si="0"/>
        <v>HW</v>
      </c>
    </row>
    <row r="22" spans="1:6">
      <c r="A22" s="2" t="s">
        <v>23</v>
      </c>
      <c r="B22" s="3">
        <v>3.46</v>
      </c>
      <c r="C22" s="4">
        <v>2</v>
      </c>
      <c r="D22">
        <v>87</v>
      </c>
      <c r="E22">
        <f t="shared" si="1"/>
        <v>1.4004431538258419</v>
      </c>
      <c r="F22" t="str">
        <f t="shared" si="0"/>
        <v>HC</v>
      </c>
    </row>
    <row r="23" spans="1:6">
      <c r="A23" s="2" t="s">
        <v>24</v>
      </c>
      <c r="B23" s="3">
        <v>2.15</v>
      </c>
      <c r="C23" s="4">
        <v>2</v>
      </c>
      <c r="D23">
        <v>2.6</v>
      </c>
      <c r="E23">
        <f t="shared" si="1"/>
        <v>8.2534888055212641E-2</v>
      </c>
      <c r="F23" t="str">
        <f t="shared" si="0"/>
        <v>HC</v>
      </c>
    </row>
    <row r="24" spans="1:6">
      <c r="A24" s="2" t="s">
        <v>25</v>
      </c>
      <c r="B24" s="3">
        <v>44</v>
      </c>
      <c r="C24" s="4">
        <v>2</v>
      </c>
      <c r="D24">
        <v>23</v>
      </c>
      <c r="E24">
        <f t="shared" si="1"/>
        <v>0.28172484046859458</v>
      </c>
      <c r="F24" t="str">
        <f t="shared" si="0"/>
        <v>HC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鑫源 马</cp:lastModifiedBy>
  <dcterms:modified xsi:type="dcterms:W3CDTF">2026-08-16T13:39:56Z</dcterms:modified>
</cp:coreProperties>
</file>