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data\epoch 1\Tyrosine-protein kinase JAK123\"/>
    </mc:Choice>
  </mc:AlternateContent>
  <xr:revisionPtr revIDLastSave="0" documentId="13_ncr:1_{CD08E6B8-E014-4E9A-916F-0F03CA646B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<sst xmlns="http://schemas.openxmlformats.org/spreadsheetml/2006/main" count="35" uniqueCount="35">
  <si>
    <t>Sample_ID</t>
  </si>
  <si>
    <t>Predicted_Kd_nM</t>
  </si>
  <si>
    <t>Predicted_Label</t>
  </si>
  <si>
    <t>TYR_val_001</t>
  </si>
  <si>
    <t>TYR_val_002</t>
  </si>
  <si>
    <t>TYR_val_003</t>
  </si>
  <si>
    <t>TYR_val_004</t>
  </si>
  <si>
    <t>TYR_val_006</t>
  </si>
  <si>
    <t>TYR_val_007</t>
  </si>
  <si>
    <t>TYR_val_008</t>
  </si>
  <si>
    <t>TYR_val_009</t>
  </si>
  <si>
    <t>TYR_val_010</t>
  </si>
  <si>
    <t>TYR_val_012</t>
  </si>
  <si>
    <t>TYR_val_014</t>
  </si>
  <si>
    <t>TYR_val_015</t>
  </si>
  <si>
    <t>TYR_val_016</t>
  </si>
  <si>
    <t>TYR_val_017</t>
  </si>
  <si>
    <t>TYR_val_020</t>
  </si>
  <si>
    <t>TYR_val_021</t>
  </si>
  <si>
    <t>TYR_val_022</t>
  </si>
  <si>
    <t>TYR_val_025</t>
  </si>
  <si>
    <t>TYR_val_030</t>
  </si>
  <si>
    <t>TYR_val_034</t>
  </si>
  <si>
    <t>TYR_val_035</t>
  </si>
  <si>
    <t>TYR_val_037</t>
  </si>
  <si>
    <t>TYR_val_038</t>
  </si>
  <si>
    <t>TYR_val_039</t>
  </si>
  <si>
    <t>TYR_val_040</t>
  </si>
  <si>
    <t>TYR_val_041</t>
  </si>
  <si>
    <t>TYR_val_042</t>
  </si>
  <si>
    <t>TYR_val_043</t>
  </si>
  <si>
    <t>TYR_val_044</t>
  </si>
  <si>
    <t>True_Kd_nM</t>
  </si>
  <si>
    <t>Log Error</t>
  </si>
  <si>
    <t>Category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</si>
</sst>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/>
    </xf>
    <xf numFmtId="176" fontId="0" fillId="0" borderId="0" xfId="1" applyNumberFormat="1" applyFont="1"/>
    <xf numFmtId="1" fontId="0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H3" sqref="H3"/>
    </sheetView>
  </sheetViews>
  <sheetFormatPr defaultRowHeight="13.8"/>
  <cols>
    <col min="1" max="1" width="18" customWidth="1"/>
    <col min="2" max="2" width="20" customWidth="1"/>
    <col min="3" max="3" width="18" customWidth="1"/>
  </cols>
  <sheetData>
    <row r="1" spans="1:6" ht="14.4">
      <c r="A1" s="1" t="s">
        <v>0</v>
      </c>
      <c r="B1" s="1" t="s">
        <v>1</v>
      </c>
      <c r="C1" s="1" t="s">
        <v>2</v>
      </c>
      <c r="D1" s="4" t="s">
        <v>32</v>
      </c>
      <c r="E1" s="4" t="s">
        <v>33</v>
      </c>
      <c r="F1" s="5" t="s">
        <v>34</v>
      </c>
    </row>
    <row r="2" spans="1:6">
      <c r="A2" t="s">
        <v>3</v>
      </c>
      <c r="B2" s="2">
        <v>10000</v>
      </c>
      <c r="C2" s="3">
        <v>0</v>
      </c>
      <c r="D2">
        <v>5100</v>
      </c>
      <c r="E2">
        <f>ABS(LOG10(B2)-LOG10(D2))</f>
        <v>0.29242982390206373</v>
      </c>
      <c r="F2" t="str">
        <f>IF(D2&lt;100,IF(C2=2,"HC","HW"),IF(D2&gt;=5000,IF(C2=0,"LC","LW"),"EXCLUDE_MEDIUM"))</f>
        <v>LC</v>
      </c>
    </row>
    <row r="3" spans="1:6">
      <c r="A3" t="s">
        <v>4</v>
      </c>
      <c r="B3" s="2">
        <v>0.12</v>
      </c>
      <c r="C3" s="3">
        <v>2</v>
      </c>
      <c r="D3">
        <v>8.2000000000000003E-2</v>
      </c>
      <c r="E3">
        <f t="shared" ref="E3:E30" si="0">ABS(LOG10(B3)-LOG10(D3))</f>
        <v>0.16536739366390807</v>
      </c>
      <c r="F3" t="str">
        <f t="shared" ref="F3:F30" si="1">IF(D3&lt;100,IF(C3=2,"HC","HW"),IF(D3&gt;=5000,IF(C3=0,"LC","LW"),"EXCLUDE_MEDIUM"))</f>
        <v>HC</v>
      </c>
    </row>
    <row r="4" spans="1:6">
      <c r="A4" t="s">
        <v>5</v>
      </c>
      <c r="B4" s="2">
        <v>14</v>
      </c>
      <c r="C4" s="3">
        <v>2</v>
      </c>
      <c r="D4">
        <v>14</v>
      </c>
      <c r="E4">
        <f t="shared" si="0"/>
        <v>0</v>
      </c>
      <c r="F4" t="str">
        <f t="shared" si="1"/>
        <v>HC</v>
      </c>
    </row>
    <row r="5" spans="1:6">
      <c r="A5" t="s">
        <v>6</v>
      </c>
      <c r="B5" s="2">
        <v>3000</v>
      </c>
      <c r="C5" s="3">
        <v>1</v>
      </c>
      <c r="D5">
        <v>10000</v>
      </c>
      <c r="E5">
        <f t="shared" si="0"/>
        <v>0.5228787452803374</v>
      </c>
      <c r="F5" t="str">
        <f t="shared" si="1"/>
        <v>LW</v>
      </c>
    </row>
    <row r="6" spans="1:6">
      <c r="A6" t="s">
        <v>7</v>
      </c>
      <c r="B6" s="2">
        <v>10000</v>
      </c>
      <c r="C6" s="3">
        <v>0</v>
      </c>
      <c r="D6">
        <v>10000</v>
      </c>
      <c r="E6">
        <f t="shared" si="0"/>
        <v>0</v>
      </c>
      <c r="F6" t="str">
        <f t="shared" si="1"/>
        <v>LC</v>
      </c>
    </row>
    <row r="7" spans="1:6">
      <c r="A7" t="s">
        <v>8</v>
      </c>
      <c r="B7" s="2">
        <v>4.3</v>
      </c>
      <c r="C7" s="3">
        <v>2</v>
      </c>
      <c r="D7">
        <v>1.8</v>
      </c>
      <c r="E7">
        <f t="shared" si="0"/>
        <v>0.37819595047628046</v>
      </c>
      <c r="F7" t="str">
        <f t="shared" si="1"/>
        <v>HC</v>
      </c>
    </row>
    <row r="8" spans="1:6">
      <c r="A8" t="s">
        <v>9</v>
      </c>
      <c r="B8" s="2">
        <v>4.7</v>
      </c>
      <c r="C8" s="3">
        <v>2</v>
      </c>
      <c r="D8">
        <v>4.7</v>
      </c>
      <c r="E8">
        <f t="shared" si="0"/>
        <v>0</v>
      </c>
      <c r="F8" t="str">
        <f t="shared" si="1"/>
        <v>HC</v>
      </c>
    </row>
    <row r="9" spans="1:6">
      <c r="A9" t="s">
        <v>10</v>
      </c>
      <c r="B9" s="2">
        <v>5800</v>
      </c>
      <c r="C9" s="3">
        <v>0</v>
      </c>
      <c r="D9">
        <v>7800</v>
      </c>
      <c r="E9">
        <f t="shared" si="0"/>
        <v>0.12866660912754302</v>
      </c>
      <c r="F9" t="str">
        <f t="shared" si="1"/>
        <v>LC</v>
      </c>
    </row>
    <row r="10" spans="1:6">
      <c r="A10" t="s">
        <v>11</v>
      </c>
      <c r="B10" s="2">
        <v>500</v>
      </c>
      <c r="C10" s="3">
        <v>1</v>
      </c>
      <c r="D10">
        <v>30</v>
      </c>
      <c r="E10">
        <f t="shared" si="0"/>
        <v>1.2218487496163564</v>
      </c>
      <c r="F10" t="str">
        <f t="shared" si="1"/>
        <v>HW</v>
      </c>
    </row>
    <row r="11" spans="1:6">
      <c r="A11" t="s">
        <v>12</v>
      </c>
      <c r="B11" s="2">
        <v>5</v>
      </c>
      <c r="C11" s="3">
        <v>2</v>
      </c>
      <c r="D11">
        <v>24</v>
      </c>
      <c r="E11">
        <f t="shared" si="0"/>
        <v>0.68124123737558706</v>
      </c>
      <c r="F11" t="str">
        <f t="shared" si="1"/>
        <v>HC</v>
      </c>
    </row>
    <row r="12" spans="1:6">
      <c r="A12" t="s">
        <v>13</v>
      </c>
      <c r="B12" s="2">
        <v>4.0999999999999996</v>
      </c>
      <c r="C12" s="3">
        <v>2</v>
      </c>
      <c r="D12">
        <v>4.0999999999999996</v>
      </c>
      <c r="E12">
        <f t="shared" si="0"/>
        <v>0</v>
      </c>
      <c r="F12" t="str">
        <f t="shared" si="1"/>
        <v>HC</v>
      </c>
    </row>
    <row r="13" spans="1:6">
      <c r="A13" t="s">
        <v>14</v>
      </c>
      <c r="B13" s="2">
        <v>3500</v>
      </c>
      <c r="C13" s="3">
        <v>1</v>
      </c>
      <c r="D13">
        <v>10000</v>
      </c>
      <c r="E13">
        <f t="shared" si="0"/>
        <v>0.45593195564972433</v>
      </c>
      <c r="F13" t="str">
        <f t="shared" si="1"/>
        <v>LW</v>
      </c>
    </row>
    <row r="14" spans="1:6">
      <c r="A14" t="s">
        <v>15</v>
      </c>
      <c r="B14" s="2">
        <v>500</v>
      </c>
      <c r="C14" s="3">
        <v>1</v>
      </c>
      <c r="D14">
        <v>30</v>
      </c>
      <c r="E14">
        <f t="shared" si="0"/>
        <v>1.2218487496163564</v>
      </c>
      <c r="F14" t="str">
        <f t="shared" si="1"/>
        <v>HW</v>
      </c>
    </row>
    <row r="15" spans="1:6">
      <c r="A15" t="s">
        <v>16</v>
      </c>
      <c r="B15" s="2">
        <v>9900</v>
      </c>
      <c r="C15" s="3">
        <v>0</v>
      </c>
      <c r="D15">
        <v>10000</v>
      </c>
      <c r="E15">
        <f t="shared" si="0"/>
        <v>4.3648054024498784E-3</v>
      </c>
      <c r="F15" t="str">
        <f t="shared" si="1"/>
        <v>LC</v>
      </c>
    </row>
    <row r="16" spans="1:6">
      <c r="A16" t="s">
        <v>17</v>
      </c>
      <c r="B16" s="2">
        <v>5500</v>
      </c>
      <c r="C16" s="3">
        <v>0</v>
      </c>
      <c r="D16">
        <v>5500</v>
      </c>
      <c r="E16">
        <f t="shared" si="0"/>
        <v>0</v>
      </c>
      <c r="F16" t="str">
        <f t="shared" si="1"/>
        <v>LC</v>
      </c>
    </row>
    <row r="17" spans="1:6">
      <c r="A17" t="s">
        <v>18</v>
      </c>
      <c r="B17" s="2">
        <v>9000</v>
      </c>
      <c r="C17" s="3">
        <v>0</v>
      </c>
      <c r="D17">
        <v>10000</v>
      </c>
      <c r="E17">
        <f t="shared" si="0"/>
        <v>4.575749056067524E-2</v>
      </c>
      <c r="F17" t="str">
        <f t="shared" si="1"/>
        <v>LC</v>
      </c>
    </row>
    <row r="18" spans="1:6">
      <c r="A18" t="s">
        <v>19</v>
      </c>
      <c r="B18" s="2">
        <v>10000</v>
      </c>
      <c r="C18" s="3">
        <v>0</v>
      </c>
      <c r="D18">
        <v>10000</v>
      </c>
      <c r="E18">
        <f t="shared" si="0"/>
        <v>0</v>
      </c>
      <c r="F18" t="str">
        <f t="shared" si="1"/>
        <v>LC</v>
      </c>
    </row>
    <row r="19" spans="1:6">
      <c r="A19" t="s">
        <v>20</v>
      </c>
      <c r="B19" s="2">
        <v>0.5</v>
      </c>
      <c r="C19" s="3">
        <v>2</v>
      </c>
      <c r="D19">
        <v>3.4000000000000002E-2</v>
      </c>
      <c r="E19">
        <f t="shared" si="0"/>
        <v>1.1674910872937636</v>
      </c>
      <c r="F19" t="str">
        <f t="shared" si="1"/>
        <v>HC</v>
      </c>
    </row>
    <row r="20" spans="1:6">
      <c r="A20" t="s">
        <v>21</v>
      </c>
      <c r="B20" s="2">
        <v>6.7</v>
      </c>
      <c r="C20" s="3">
        <v>2</v>
      </c>
      <c r="D20">
        <v>6.7</v>
      </c>
      <c r="E20">
        <f t="shared" si="0"/>
        <v>0</v>
      </c>
      <c r="F20" t="str">
        <f t="shared" si="1"/>
        <v>HC</v>
      </c>
    </row>
    <row r="21" spans="1:6">
      <c r="A21" t="s">
        <v>22</v>
      </c>
      <c r="B21" s="2">
        <v>14</v>
      </c>
      <c r="C21" s="3">
        <v>2</v>
      </c>
      <c r="D21">
        <v>14</v>
      </c>
      <c r="E21">
        <f t="shared" si="0"/>
        <v>0</v>
      </c>
      <c r="F21" t="str">
        <f t="shared" si="1"/>
        <v>HC</v>
      </c>
    </row>
    <row r="22" spans="1:6">
      <c r="A22" t="s">
        <v>23</v>
      </c>
      <c r="B22" s="2">
        <v>1500</v>
      </c>
      <c r="C22" s="3">
        <v>1</v>
      </c>
      <c r="D22">
        <v>10000</v>
      </c>
      <c r="E22">
        <f t="shared" si="0"/>
        <v>0.82390874094431865</v>
      </c>
      <c r="F22" t="str">
        <f t="shared" si="1"/>
        <v>LW</v>
      </c>
    </row>
    <row r="23" spans="1:6">
      <c r="A23" t="s">
        <v>24</v>
      </c>
      <c r="B23" s="2">
        <v>6.7</v>
      </c>
      <c r="C23" s="3">
        <v>2</v>
      </c>
      <c r="D23">
        <v>6.7</v>
      </c>
      <c r="E23">
        <f t="shared" si="0"/>
        <v>0</v>
      </c>
      <c r="F23" t="str">
        <f t="shared" si="1"/>
        <v>HC</v>
      </c>
    </row>
    <row r="24" spans="1:6">
      <c r="A24" t="s">
        <v>25</v>
      </c>
      <c r="B24" s="2">
        <v>0.62</v>
      </c>
      <c r="C24" s="3">
        <v>2</v>
      </c>
      <c r="D24">
        <v>0.6</v>
      </c>
      <c r="E24">
        <f t="shared" si="0"/>
        <v>1.4240439114610259E-2</v>
      </c>
      <c r="F24" t="str">
        <f t="shared" si="1"/>
        <v>HC</v>
      </c>
    </row>
    <row r="25" spans="1:6">
      <c r="A25" t="s">
        <v>26</v>
      </c>
      <c r="B25" s="2">
        <v>525</v>
      </c>
      <c r="C25" s="3">
        <v>1</v>
      </c>
      <c r="D25">
        <v>30</v>
      </c>
      <c r="E25">
        <f t="shared" si="0"/>
        <v>1.2430380486862946</v>
      </c>
      <c r="F25" t="str">
        <f t="shared" si="1"/>
        <v>HW</v>
      </c>
    </row>
    <row r="26" spans="1:6">
      <c r="A26" t="s">
        <v>27</v>
      </c>
      <c r="B26" s="2">
        <v>10000</v>
      </c>
      <c r="C26" s="3">
        <v>0</v>
      </c>
      <c r="D26">
        <v>10000</v>
      </c>
      <c r="E26">
        <f t="shared" si="0"/>
        <v>0</v>
      </c>
      <c r="F26" t="str">
        <f t="shared" si="1"/>
        <v>LC</v>
      </c>
    </row>
    <row r="27" spans="1:6">
      <c r="A27" t="s">
        <v>28</v>
      </c>
      <c r="B27" s="2">
        <v>8000</v>
      </c>
      <c r="C27" s="3">
        <v>0</v>
      </c>
      <c r="D27">
        <v>10000</v>
      </c>
      <c r="E27">
        <f t="shared" si="0"/>
        <v>9.6910013008056239E-2</v>
      </c>
      <c r="F27" t="str">
        <f t="shared" si="1"/>
        <v>LC</v>
      </c>
    </row>
    <row r="28" spans="1:6">
      <c r="A28" t="s">
        <v>29</v>
      </c>
      <c r="B28" s="2">
        <v>4.8000000000000001E-2</v>
      </c>
      <c r="C28" s="3">
        <v>2</v>
      </c>
      <c r="D28">
        <v>0.15</v>
      </c>
      <c r="E28">
        <f t="shared" si="0"/>
        <v>0.49485002168009407</v>
      </c>
      <c r="F28" t="str">
        <f t="shared" si="1"/>
        <v>HC</v>
      </c>
    </row>
    <row r="29" spans="1:6">
      <c r="A29" t="s">
        <v>30</v>
      </c>
      <c r="B29" s="2">
        <v>10000</v>
      </c>
      <c r="C29" s="3">
        <v>0</v>
      </c>
      <c r="D29">
        <v>10000</v>
      </c>
      <c r="E29">
        <f t="shared" si="0"/>
        <v>0</v>
      </c>
      <c r="F29" t="str">
        <f t="shared" si="1"/>
        <v>LC</v>
      </c>
    </row>
    <row r="30" spans="1:6">
      <c r="A30" t="s">
        <v>31</v>
      </c>
      <c r="B30" s="2">
        <v>10000</v>
      </c>
      <c r="C30" s="3">
        <v>0</v>
      </c>
      <c r="D30">
        <v>10000</v>
      </c>
      <c r="E30">
        <f t="shared" si="0"/>
        <v>0</v>
      </c>
      <c r="F30" t="str">
        <f t="shared" si="1"/>
        <v>LC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鑫源 马</cp:lastModifiedBy>
  <dcterms:modified xsi:type="dcterms:W3CDTF">2026-08-16T13:40:51Z</dcterms:modified>
</cp:coreProperties>
</file>